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eae75eecc371719/Documents/"/>
    </mc:Choice>
  </mc:AlternateContent>
  <xr:revisionPtr revIDLastSave="2" documentId="8_{5710DA6F-F172-47F8-9204-7B35A848B847}" xr6:coauthVersionLast="47" xr6:coauthVersionMax="47" xr10:uidLastSave="{1D416B28-C6CB-4B73-B867-7545888DCD6C}"/>
  <bookViews>
    <workbookView xWindow="-120" yWindow="-120" windowWidth="20730" windowHeight="11040" xr2:uid="{C5D40578-80EB-4EA5-916E-1FFC07B0658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65" i="1" l="1"/>
  <c r="C57" i="1"/>
  <c r="D48" i="1"/>
  <c r="D49" i="1"/>
  <c r="D47" i="1"/>
  <c r="D37" i="1"/>
  <c r="D29" i="1"/>
  <c r="C21" i="1"/>
  <c r="C22" i="1"/>
  <c r="C23" i="1"/>
  <c r="C24" i="1"/>
  <c r="C20" i="1"/>
  <c r="D12" i="1"/>
  <c r="D13" i="1"/>
  <c r="D14" i="1"/>
  <c r="D11" i="1"/>
  <c r="C7" i="1"/>
  <c r="C4" i="1"/>
  <c r="C5" i="1"/>
  <c r="C6" i="1"/>
  <c r="C3" i="1"/>
</calcChain>
</file>

<file path=xl/sharedStrings.xml><?xml version="1.0" encoding="utf-8"?>
<sst xmlns="http://schemas.openxmlformats.org/spreadsheetml/2006/main" count="75" uniqueCount="64">
  <si>
    <t>Q.1 Write a formula to check if the marks in cell B2 are greater than or equal to 40. If yes, return ,"Pass" otherwise "Fail".</t>
  </si>
  <si>
    <t>Student name</t>
  </si>
  <si>
    <t>Marks</t>
  </si>
  <si>
    <t>Riya</t>
  </si>
  <si>
    <t>Siya</t>
  </si>
  <si>
    <t>Raju</t>
  </si>
  <si>
    <t>Rahul</t>
  </si>
  <si>
    <t>Ram</t>
  </si>
  <si>
    <t>Q.2  company gives a bonus  if sales are above 40,000 and attendance is greater than or equal to 90%. Write a formula to calculate whether the employee will get a bonus or not .</t>
  </si>
  <si>
    <t>Employee</t>
  </si>
  <si>
    <t>Sales</t>
  </si>
  <si>
    <t>Attendance</t>
  </si>
  <si>
    <t>Arjun</t>
  </si>
  <si>
    <t>Simran</t>
  </si>
  <si>
    <t>Rohit</t>
  </si>
  <si>
    <t>Anjali</t>
  </si>
  <si>
    <t>Q.3 rite a nested IF formula:</t>
  </si>
  <si>
    <t xml:space="preserve">Student Name </t>
  </si>
  <si>
    <t>Raj</t>
  </si>
  <si>
    <t>Neha</t>
  </si>
  <si>
    <t>Vivek</t>
  </si>
  <si>
    <t>Rani</t>
  </si>
  <si>
    <t>Sneha</t>
  </si>
  <si>
    <t>If marks in are B2 ≥ 90 ,"A" ≥ 75,"B" ≥ 50,"C" otherwise "Fail"</t>
  </si>
  <si>
    <t>Name</t>
  </si>
  <si>
    <t>Department</t>
  </si>
  <si>
    <t>EmpID</t>
  </si>
  <si>
    <t>E101</t>
  </si>
  <si>
    <t>E102</t>
  </si>
  <si>
    <t>E103</t>
  </si>
  <si>
    <t>E104</t>
  </si>
  <si>
    <t>Roshni</t>
  </si>
  <si>
    <t>Sejal</t>
  </si>
  <si>
    <t>IT</t>
  </si>
  <si>
    <t>HR</t>
  </si>
  <si>
    <t>Finance</t>
  </si>
  <si>
    <t>Q.4 find the Department of Employee ID = E103. Also explain which LOOKUP function is used and why?</t>
  </si>
  <si>
    <t>Ans. VLOOKUP is used, The Employee ID (E103) is in the first column We want to find the Department, which is in another column to the right This is a vertical table, so VLOOKUP is appropriate.</t>
  </si>
  <si>
    <t xml:space="preserve">Sales Amount </t>
  </si>
  <si>
    <t>Commission Rate</t>
  </si>
  <si>
    <t>Q.5  company has set the following commission structure for its sales team:</t>
  </si>
  <si>
    <t>If a salesperson achieves sales of ₹45,000, use the VLOOKUP function to determine the commission rate applicable</t>
  </si>
  <si>
    <t>Q. 6 The HR department maintains the following leave records of employees:onus or not</t>
  </si>
  <si>
    <t>Leaves Taken</t>
  </si>
  <si>
    <t xml:space="preserve">Employee Name </t>
  </si>
  <si>
    <t xml:space="preserve"> Leaves Allowed</t>
  </si>
  <si>
    <t>bob</t>
  </si>
  <si>
    <t>anna</t>
  </si>
  <si>
    <t>Alex</t>
  </si>
  <si>
    <t>Write an IF function to check whether an employee has Exceeded their allowed leave balance.</t>
  </si>
  <si>
    <t>If Leaves Taken &gt; Allowed Leaves, display "Exceeded".</t>
  </si>
  <si>
    <t>Otherwise, display "OK".</t>
  </si>
  <si>
    <t>Q.7 Find the salary of EmpID = E105 using INDEX-MATCH Function</t>
  </si>
  <si>
    <t>Salary</t>
  </si>
  <si>
    <t xml:space="preserve">EmpID </t>
  </si>
  <si>
    <t>E105</t>
  </si>
  <si>
    <t>E106</t>
  </si>
  <si>
    <t>Q.8  Use the XLOOKUP function to find the Department of the employee with Emp ID = E303</t>
  </si>
  <si>
    <t>E303</t>
  </si>
  <si>
    <t>E306</t>
  </si>
  <si>
    <t xml:space="preserve">E101 </t>
  </si>
  <si>
    <t>SALES</t>
  </si>
  <si>
    <t>FINANCE</t>
  </si>
  <si>
    <t>Ans. As I have the old version of excel I wont be able to use xlookup function hence I am writing the formula manually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</si>
</sst>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9" fontId="0" fillId="0" borderId="0" xfId="0" applyNumberFormat="1"/>
    <xf numFmtId="0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A7120-E43D-4D3C-AE33-584F738B6431}">
  <dimension ref="A1:D68"/>
  <sheetViews>
    <sheetView tabSelected="1" topLeftCell="A61" workbookViewId="0">
      <selection activeCell="D67" sqref="D67"/>
    </sheetView>
  </sheetViews>
  <sheetFormatPr defaultRowHeight="15" x14ac:dyDescent="0.25"/>
  <cols>
    <col min="1" max="1" width="13.7109375" customWidth="1"/>
    <col min="3" max="3" width="9.42578125" customWidth="1"/>
    <col min="4" max="4" width="11.140625" customWidth="1"/>
  </cols>
  <sheetData>
    <row r="1" spans="1:4" x14ac:dyDescent="0.25">
      <c r="A1" t="s">
        <v>0</v>
      </c>
    </row>
    <row r="2" spans="1:4" x14ac:dyDescent="0.25">
      <c r="A2" s="1" t="s">
        <v>1</v>
      </c>
      <c r="B2" s="1" t="s">
        <v>2</v>
      </c>
    </row>
    <row r="3" spans="1:4" x14ac:dyDescent="0.25">
      <c r="A3" t="s">
        <v>3</v>
      </c>
      <c r="B3">
        <v>45</v>
      </c>
      <c r="C3" t="str">
        <f>IF(B3&gt;=40,"pass","Fail")</f>
        <v>pass</v>
      </c>
    </row>
    <row r="4" spans="1:4" x14ac:dyDescent="0.25">
      <c r="A4" t="s">
        <v>4</v>
      </c>
      <c r="B4">
        <v>72</v>
      </c>
      <c r="C4" t="str">
        <f t="shared" ref="C4:C6" si="0">IF(B4&gt;=40,"pass","Fail")</f>
        <v>pass</v>
      </c>
    </row>
    <row r="5" spans="1:4" x14ac:dyDescent="0.25">
      <c r="A5" t="s">
        <v>5</v>
      </c>
      <c r="B5">
        <v>55</v>
      </c>
      <c r="C5" t="str">
        <f t="shared" si="0"/>
        <v>pass</v>
      </c>
    </row>
    <row r="6" spans="1:4" x14ac:dyDescent="0.25">
      <c r="A6" t="s">
        <v>6</v>
      </c>
      <c r="B6">
        <v>80</v>
      </c>
      <c r="C6" t="str">
        <f t="shared" si="0"/>
        <v>pass</v>
      </c>
    </row>
    <row r="7" spans="1:4" x14ac:dyDescent="0.25">
      <c r="A7" t="s">
        <v>7</v>
      </c>
      <c r="B7">
        <v>30</v>
      </c>
      <c r="C7" t="str">
        <f>IF(B7&gt;=40,"pass","Fail")</f>
        <v>Fail</v>
      </c>
    </row>
    <row r="9" spans="1:4" x14ac:dyDescent="0.25">
      <c r="A9" t="s">
        <v>8</v>
      </c>
    </row>
    <row r="10" spans="1:4" x14ac:dyDescent="0.25">
      <c r="A10" s="1" t="s">
        <v>9</v>
      </c>
      <c r="B10" s="1" t="s">
        <v>10</v>
      </c>
      <c r="C10" s="1" t="s">
        <v>11</v>
      </c>
    </row>
    <row r="11" spans="1:4" x14ac:dyDescent="0.25">
      <c r="A11" t="s">
        <v>12</v>
      </c>
      <c r="B11">
        <v>55000</v>
      </c>
      <c r="C11">
        <v>95</v>
      </c>
      <c r="D11" t="str">
        <f>IF(AND(B11&gt;40000,C11&gt;=90%),"Bonus","No Bonus")</f>
        <v>Bonus</v>
      </c>
    </row>
    <row r="12" spans="1:4" x14ac:dyDescent="0.25">
      <c r="A12" t="s">
        <v>13</v>
      </c>
      <c r="B12">
        <v>65000</v>
      </c>
      <c r="C12">
        <v>85</v>
      </c>
      <c r="D12" t="str">
        <f t="shared" ref="D12:D14" si="1">IF(AND(B12&gt;40000,C12&gt;=90%),"Bonus","No Bonus")</f>
        <v>Bonus</v>
      </c>
    </row>
    <row r="13" spans="1:4" x14ac:dyDescent="0.25">
      <c r="A13" t="s">
        <v>14</v>
      </c>
      <c r="B13">
        <v>30000</v>
      </c>
      <c r="C13">
        <v>90</v>
      </c>
      <c r="D13" t="str">
        <f t="shared" si="1"/>
        <v>No Bonus</v>
      </c>
    </row>
    <row r="14" spans="1:4" x14ac:dyDescent="0.25">
      <c r="A14" t="s">
        <v>15</v>
      </c>
      <c r="B14">
        <v>25000</v>
      </c>
      <c r="C14">
        <v>65</v>
      </c>
      <c r="D14" t="str">
        <f t="shared" si="1"/>
        <v>No Bonus</v>
      </c>
    </row>
    <row r="16" spans="1:4" x14ac:dyDescent="0.25">
      <c r="A16" t="s">
        <v>16</v>
      </c>
    </row>
    <row r="17" spans="1:4" x14ac:dyDescent="0.25">
      <c r="A17" t="s">
        <v>23</v>
      </c>
    </row>
    <row r="19" spans="1:4" x14ac:dyDescent="0.25">
      <c r="A19" s="1" t="s">
        <v>17</v>
      </c>
      <c r="B19" s="1" t="s">
        <v>2</v>
      </c>
    </row>
    <row r="20" spans="1:4" x14ac:dyDescent="0.25">
      <c r="A20" t="s">
        <v>18</v>
      </c>
      <c r="B20">
        <v>85</v>
      </c>
      <c r="C20" t="str">
        <f>IF(B20&gt;90,"A",IF(B20&gt;75,"B",IF(B20&gt;50,"C","Fail")))</f>
        <v>B</v>
      </c>
    </row>
    <row r="21" spans="1:4" x14ac:dyDescent="0.25">
      <c r="A21" t="s">
        <v>19</v>
      </c>
      <c r="B21">
        <v>96</v>
      </c>
      <c r="C21" t="str">
        <f t="shared" ref="C21:C24" si="2">IF(B21&gt;90,"A",IF(B21&gt;75,"B",IF(B21&gt;50,"C","Fail")))</f>
        <v>A</v>
      </c>
    </row>
    <row r="22" spans="1:4" x14ac:dyDescent="0.25">
      <c r="A22" t="s">
        <v>20</v>
      </c>
      <c r="B22">
        <v>57</v>
      </c>
      <c r="C22" t="str">
        <f t="shared" si="2"/>
        <v>C</v>
      </c>
    </row>
    <row r="23" spans="1:4" x14ac:dyDescent="0.25">
      <c r="A23" t="s">
        <v>21</v>
      </c>
      <c r="B23">
        <v>92</v>
      </c>
      <c r="C23" t="str">
        <f t="shared" si="2"/>
        <v>A</v>
      </c>
    </row>
    <row r="24" spans="1:4" x14ac:dyDescent="0.25">
      <c r="A24" t="s">
        <v>22</v>
      </c>
      <c r="B24">
        <v>75</v>
      </c>
      <c r="C24" t="str">
        <f t="shared" si="2"/>
        <v>C</v>
      </c>
    </row>
    <row r="26" spans="1:4" x14ac:dyDescent="0.25">
      <c r="A26" t="s">
        <v>36</v>
      </c>
    </row>
    <row r="27" spans="1:4" x14ac:dyDescent="0.25">
      <c r="A27" t="s">
        <v>37</v>
      </c>
    </row>
    <row r="28" spans="1:4" x14ac:dyDescent="0.25">
      <c r="A28" s="1" t="s">
        <v>26</v>
      </c>
      <c r="B28" s="1" t="s">
        <v>24</v>
      </c>
      <c r="C28" s="1" t="s">
        <v>25</v>
      </c>
    </row>
    <row r="29" spans="1:4" x14ac:dyDescent="0.25">
      <c r="A29" t="s">
        <v>27</v>
      </c>
      <c r="B29" t="s">
        <v>5</v>
      </c>
      <c r="C29" t="s">
        <v>33</v>
      </c>
      <c r="D29" t="str">
        <f>VLOOKUP(A31,A28:C32,3,FALSE)</f>
        <v>Finance</v>
      </c>
    </row>
    <row r="30" spans="1:4" x14ac:dyDescent="0.25">
      <c r="A30" t="s">
        <v>28</v>
      </c>
      <c r="B30" t="s">
        <v>3</v>
      </c>
      <c r="C30" t="s">
        <v>34</v>
      </c>
    </row>
    <row r="31" spans="1:4" x14ac:dyDescent="0.25">
      <c r="A31" t="s">
        <v>29</v>
      </c>
      <c r="B31" t="s">
        <v>31</v>
      </c>
      <c r="C31" t="s">
        <v>35</v>
      </c>
    </row>
    <row r="32" spans="1:4" x14ac:dyDescent="0.25">
      <c r="A32" t="s">
        <v>30</v>
      </c>
      <c r="B32" t="s">
        <v>32</v>
      </c>
      <c r="C32" t="s">
        <v>10</v>
      </c>
    </row>
    <row r="34" spans="1:4" x14ac:dyDescent="0.25">
      <c r="A34" t="s">
        <v>40</v>
      </c>
    </row>
    <row r="36" spans="1:4" x14ac:dyDescent="0.25">
      <c r="A36" s="1" t="s">
        <v>38</v>
      </c>
      <c r="B36" s="1" t="s">
        <v>39</v>
      </c>
    </row>
    <row r="37" spans="1:4" x14ac:dyDescent="0.25">
      <c r="A37">
        <v>0</v>
      </c>
      <c r="B37" s="2">
        <v>0.05</v>
      </c>
      <c r="D37" s="4">
        <f>VLOOKUP(45000,A36:B40,2,TRUE)</f>
        <v>0.1</v>
      </c>
    </row>
    <row r="38" spans="1:4" x14ac:dyDescent="0.25">
      <c r="A38">
        <v>20000</v>
      </c>
      <c r="B38" s="2">
        <v>0.1</v>
      </c>
    </row>
    <row r="39" spans="1:4" x14ac:dyDescent="0.25">
      <c r="A39">
        <v>50000</v>
      </c>
      <c r="B39" s="2">
        <v>0.15</v>
      </c>
    </row>
    <row r="40" spans="1:4" x14ac:dyDescent="0.25">
      <c r="A40">
        <v>80000</v>
      </c>
      <c r="B40" s="2">
        <v>0.2</v>
      </c>
    </row>
    <row r="42" spans="1:4" x14ac:dyDescent="0.25">
      <c r="A42" t="s">
        <v>41</v>
      </c>
    </row>
    <row r="44" spans="1:4" x14ac:dyDescent="0.25">
      <c r="A44" t="s">
        <v>42</v>
      </c>
    </row>
    <row r="46" spans="1:4" x14ac:dyDescent="0.25">
      <c r="A46" s="1" t="s">
        <v>44</v>
      </c>
      <c r="B46" s="1" t="s">
        <v>43</v>
      </c>
      <c r="C46" s="1" t="s">
        <v>45</v>
      </c>
    </row>
    <row r="47" spans="1:4" x14ac:dyDescent="0.25">
      <c r="A47" t="s">
        <v>48</v>
      </c>
      <c r="B47">
        <v>10</v>
      </c>
      <c r="C47">
        <v>12</v>
      </c>
      <c r="D47" s="3" t="str">
        <f>IF(B47&gt;12,"Exceed","OK")</f>
        <v>OK</v>
      </c>
    </row>
    <row r="48" spans="1:4" x14ac:dyDescent="0.25">
      <c r="A48" t="s">
        <v>46</v>
      </c>
      <c r="B48">
        <v>10</v>
      </c>
      <c r="C48">
        <v>15</v>
      </c>
      <c r="D48" s="3" t="str">
        <f t="shared" ref="D48:D49" si="3">IF(B48&gt;12,"Exceed","OK")</f>
        <v>OK</v>
      </c>
    </row>
    <row r="49" spans="1:4" x14ac:dyDescent="0.25">
      <c r="A49" t="s">
        <v>47</v>
      </c>
      <c r="B49">
        <v>8</v>
      </c>
      <c r="C49">
        <v>12</v>
      </c>
      <c r="D49" s="3" t="str">
        <f t="shared" si="3"/>
        <v>OK</v>
      </c>
    </row>
    <row r="51" spans="1:4" x14ac:dyDescent="0.25">
      <c r="A51" t="s">
        <v>49</v>
      </c>
    </row>
    <row r="52" spans="1:4" x14ac:dyDescent="0.25">
      <c r="A52" t="s">
        <v>50</v>
      </c>
    </row>
    <row r="53" spans="1:4" x14ac:dyDescent="0.25">
      <c r="A53" t="s">
        <v>51</v>
      </c>
    </row>
    <row r="55" spans="1:4" x14ac:dyDescent="0.25">
      <c r="A55" t="s">
        <v>52</v>
      </c>
    </row>
    <row r="56" spans="1:4" x14ac:dyDescent="0.25">
      <c r="A56" s="1" t="s">
        <v>54</v>
      </c>
      <c r="B56" s="1" t="s">
        <v>53</v>
      </c>
    </row>
    <row r="57" spans="1:4" x14ac:dyDescent="0.25">
      <c r="A57" t="s">
        <v>30</v>
      </c>
      <c r="B57">
        <v>55000</v>
      </c>
      <c r="C57">
        <f>INDEX(B57:B60,MATCH("E105",A57:A60,0))</f>
        <v>41000</v>
      </c>
    </row>
    <row r="58" spans="1:4" x14ac:dyDescent="0.25">
      <c r="A58" t="s">
        <v>55</v>
      </c>
      <c r="B58">
        <v>41000</v>
      </c>
    </row>
    <row r="59" spans="1:4" x14ac:dyDescent="0.25">
      <c r="A59" t="s">
        <v>56</v>
      </c>
      <c r="B59">
        <v>72000</v>
      </c>
    </row>
    <row r="60" spans="1:4" x14ac:dyDescent="0.25">
      <c r="A60" t="s">
        <v>28</v>
      </c>
      <c r="B60">
        <v>62000</v>
      </c>
    </row>
    <row r="62" spans="1:4" x14ac:dyDescent="0.25">
      <c r="A62" t="s">
        <v>57</v>
      </c>
    </row>
    <row r="63" spans="1:4" x14ac:dyDescent="0.25">
      <c r="A63" t="s">
        <v>63</v>
      </c>
    </row>
    <row r="64" spans="1:4" x14ac:dyDescent="0.25">
      <c r="A64" s="1" t="s">
        <v>54</v>
      </c>
      <c r="B64" s="1" t="s">
        <v>25</v>
      </c>
    </row>
    <row r="65" spans="1:4" x14ac:dyDescent="0.25">
      <c r="A65" t="s">
        <v>60</v>
      </c>
      <c r="B65" t="s">
        <v>34</v>
      </c>
      <c r="D65" t="e">
        <f ca="1">XLOOKUP("E303",A65:A68,B65:B68)</f>
        <v>#NAME?</v>
      </c>
    </row>
    <row r="66" spans="1:4" x14ac:dyDescent="0.25">
      <c r="A66" t="s">
        <v>58</v>
      </c>
      <c r="B66" t="s">
        <v>33</v>
      </c>
    </row>
    <row r="67" spans="1:4" x14ac:dyDescent="0.25">
      <c r="A67" t="s">
        <v>59</v>
      </c>
      <c r="B67" t="s">
        <v>61</v>
      </c>
    </row>
    <row r="68" spans="1:4" x14ac:dyDescent="0.25">
      <c r="A68" t="s">
        <v>56</v>
      </c>
      <c r="B68" t="s">
        <v>62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amreenmalik1997@gmail.com</dc:creator>
  <cp:lastModifiedBy>amreenmalik1997@gmail.com</cp:lastModifiedBy>
  <dcterms:created xsi:type="dcterms:W3CDTF">2025-12-16T04:54:03Z</dcterms:created>
  <dcterms:modified xsi:type="dcterms:W3CDTF">2025-12-19T19:15:22Z</dcterms:modified>
</cp:coreProperties>
</file>