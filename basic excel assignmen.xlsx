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23DD1A5-4A5B-470E-9CD8-DFB75EB7C73D}" xr6:coauthVersionLast="47" xr6:coauthVersionMax="47" xr10:uidLastSave="{00000000-0000-0000-0000-000000000000}"/>
  <bookViews>
    <workbookView xWindow="-120" yWindow="-120" windowWidth="20730" windowHeight="11040" activeTab="1" xr2:uid="{5107B3F9-AD60-4FEB-A17D-AA78721D892D}"/>
  </bookViews>
  <sheets>
    <sheet name="Sheet6" sheetId="7" r:id="rId1"/>
    <sheet name="Sheet4" sheetId="4" r:id="rId2"/>
  </sheets>
  <calcPr calcId="18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6" i="4" l="1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I139" i="4"/>
  <c r="H139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I30" i="4"/>
  <c r="C15" i="4"/>
  <c r="D23" i="4"/>
</calcChain>
</file>

<file path=xl/sharedStrings.xml><?xml version="1.0" encoding="utf-8"?>
<sst xmlns="http://schemas.openxmlformats.org/spreadsheetml/2006/main" count="779" uniqueCount="125">
  <si>
    <t>item</t>
  </si>
  <si>
    <t>price</t>
  </si>
  <si>
    <t>sale</t>
  </si>
  <si>
    <t>item A</t>
  </si>
  <si>
    <t>item B</t>
  </si>
  <si>
    <t>item C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</si>
  <si>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</si>
  <si>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</si>
  <si>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</si>
  <si>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</si>
  <si>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</si>
  <si>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</si>
  <si>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</si>
  <si>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</si>
  <si>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</si>
  <si>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</si>
  <si>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</si>
  <si>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</si>
  <si>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</si>
  <si>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</si>
  <si>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</si>
  <si>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</si>
  <si>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</si>
  <si>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</si>
  <si>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</si>
  <si>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</si>
  <si>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</si>
  <si>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</si>
  <si>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</si>
  <si>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</si>
  <si>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</si>
  <si>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</si>
  <si>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</si>
  <si>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</si>
  <si>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</si>
  <si>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</si>
  <si>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</si>
  <si>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</si>
  <si>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</si>
  <si>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</si>
  <si>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</si>
  <si>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</si>
  <si>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</si>
  <si>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</si>
  <si>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</si>
  <si>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</si>
  <si>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</si>
  <si>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</si>
  <si>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</si>
  <si>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</si>
  <si>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</si>
  <si>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</si>
  <si>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</si>
  <si>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</si>
  <si>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</si>
  <si>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</si>
  <si>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</si>
  <si>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</si>
  <si>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</si>
  <si>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</si>
  <si>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</si>
  <si>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</si>
  <si>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</si>
  <si>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</si>
  <si>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</si>
  <si>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</si>
  <si>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</si>
  <si>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</si>
  <si>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</si>
  <si>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</si>
  <si>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</si>
  <si>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</si>
  <si>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</si>
  <si>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</si>
  <si>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</si>
  <si>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</si>
  <si>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</si>
  <si>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</si>
  <si>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</si>
  <si>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</si>
  <si>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</si>
  <si>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</si>
  <si>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</si>
  <si>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</si>
  <si>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</si>
  <si>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</si>
  <si>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</si>
  <si>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</si>
  <si>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</si>
  <si>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</si>
  <si>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</si>
  <si>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</si>
  <si>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</si>
  <si>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</si>
  <si>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</si>
  <si>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</si>
  <si>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</si>
  <si>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</si>
  <si>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total sales</t>
  </si>
  <si>
    <t>Q.1  Explain the difference between Relative , Absolute and Mixed Cell Referencing.</t>
  </si>
  <si>
    <t xml:space="preserve">  -  Ans:  Relative cell referencing: is when cell references in a formula change automatically when the formula is copied to other cells. for example, a formula in cell C1 that references A1+B1 and a formula in C2 is references A2+B2.</t>
  </si>
  <si>
    <t>Q.2 Write a formula to calculate the total sales of Car and Bicyle only only.</t>
  </si>
  <si>
    <t>vehicle</t>
  </si>
  <si>
    <t>car</t>
  </si>
  <si>
    <t>bicycle</t>
  </si>
  <si>
    <t>auto-rikshaw</t>
  </si>
  <si>
    <t>Q.3 Using the data below, write a formula to calculate the average sales of items priced above 100 but less than 300</t>
  </si>
  <si>
    <t>Ans: =averageifs(C2:C4,B2:B4,"&gt;100"B2:B4,"&lt;300")</t>
  </si>
  <si>
    <t>Ans. To calculate the total sales of car and bicycle we will use sum function and the formula will be=SUM(B11+B12)</t>
  </si>
  <si>
    <t>Q.4 Count how many customer names are recorded.</t>
  </si>
  <si>
    <r>
      <t xml:space="preserve"> - </t>
    </r>
    <r>
      <rPr>
        <b/>
        <sz val="11"/>
        <color rgb="FF000000"/>
        <rFont val="Courier New"/>
        <family val="3"/>
      </rPr>
      <t>Ans.  To count customer names we will use COUNTA formula.</t>
    </r>
  </si>
  <si>
    <t>Q.5 Calculate the Total Sales for each row using a formula.</t>
  </si>
  <si>
    <t>Q.6   Calculate the total sales of Notebooks in the North region only.</t>
  </si>
  <si>
    <t>Ans. In this question we have two condition so we will use the sumifs function to solve this.</t>
  </si>
  <si>
    <t>Ans. We will use the sumproduct formula to calculate the total sales.</t>
  </si>
  <si>
    <t>Sum of total sales</t>
  </si>
  <si>
    <t>Q.8 Insert a line chart showing daily sales trend.</t>
  </si>
  <si>
    <t xml:space="preserve">Q.7 Create a column chart showing total sales by product.
</t>
  </si>
  <si>
    <t>product</t>
  </si>
  <si>
    <t>sum of total sales</t>
  </si>
  <si>
    <t xml:space="preserve">Name </t>
  </si>
  <si>
    <t>amreen jahan</t>
  </si>
  <si>
    <t>Email</t>
  </si>
  <si>
    <t>amreenmalik1997@gmail.com</t>
  </si>
  <si>
    <t>Assignment Name: **Excel basics assignments**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</si>
</sst>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2"/>
      <color rgb="FF1F1F1F"/>
      <name val="Calibri"/>
      <family val="2"/>
      <scheme val="minor"/>
    </font>
    <font>
      <sz val="12"/>
      <color rgb="FF1F1F1F"/>
      <name val="Arial"/>
      <family val="2"/>
    </font>
    <font>
      <b/>
      <sz val="11"/>
      <color rgb="FF000000"/>
      <name val="Courier New"/>
      <family val="3"/>
    </font>
    <font>
      <b/>
      <sz val="11"/>
      <color rgb="FF0000FF"/>
      <name val="Courier New"/>
      <family val="3"/>
    </font>
    <font>
      <b/>
      <sz val="10"/>
      <color theme="1"/>
      <name val="Arial"/>
      <family val="2"/>
    </font>
    <font>
      <sz val="11"/>
      <color theme="1"/>
      <name val="Basic excel assignmen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/>
    <xf numFmtId="14" fontId="4" fillId="0" borderId="1" xfId="0" applyNumberFormat="1" applyFont="1" applyBorder="1" applyAlignment="1">
      <alignment horizontal="right"/>
    </xf>
    <xf numFmtId="0" fontId="1" fillId="0" borderId="0" xfId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9" fillId="0" borderId="0" xfId="0" applyFont="1" applyAlignment="1">
      <alignment vertical="center"/>
    </xf>
    <xf numFmtId="0" fontId="10" fillId="0" borderId="1" xfId="0" applyFont="1" applyBorder="1"/>
    <xf numFmtId="0" fontId="0" fillId="0" borderId="0" xfId="0" pivotButton="1"/>
    <xf numFmtId="0" fontId="1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[basic excel assignmen.xlsx]Sheet6!PivotTable13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Sheet6!$A$4:$A$8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5"/>
                <c:pt idx="0">
                  <c:v>1928</c:v>
                </c:pt>
                <c:pt idx="1">
                  <c:v>3650</c:v>
                </c:pt>
                <c:pt idx="2">
                  <c:v>7550</c:v>
                </c:pt>
                <c:pt idx="3">
                  <c:v>2180</c:v>
                </c:pt>
                <c:pt idx="4">
                  <c:v>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F3-4867-96DE-FB4A5C73F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5936736"/>
        <c:axId val="515925216"/>
      </c:barChart>
      <c:catAx>
        <c:axId val="51593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925216"/>
        <c:crosses val="autoZero"/>
        <c:auto val="1"/>
        <c:lblAlgn val="ctr"/>
        <c:lblOffset val="100"/>
        <c:noMultiLvlLbl val="0"/>
      </c:catAx>
      <c:valAx>
        <c:axId val="51592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93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Sheet4!$B$191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Sheet4!$A$192:$A$196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Sheet4!$B$192:$B$196</c:f>
              <c:numCache>
                <c:formatCode>General</c:formatCode>
                <c:ptCount val="5"/>
                <c:pt idx="0">
                  <c:v>1928</c:v>
                </c:pt>
                <c:pt idx="1">
                  <c:v>3650</c:v>
                </c:pt>
                <c:pt idx="2">
                  <c:v>7550</c:v>
                </c:pt>
                <c:pt idx="3">
                  <c:v>2180</c:v>
                </c:pt>
                <c:pt idx="4">
                  <c:v>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CC-46A8-AF53-FE0E2E8C7D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0169576"/>
        <c:axId val="550168856"/>
      </c:barChart>
      <c:catAx>
        <c:axId val="550169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168856"/>
        <c:crosses val="autoZero"/>
        <c:auto val="1"/>
        <c:lblAlgn val="ctr"/>
        <c:lblOffset val="100"/>
        <c:noMultiLvlLbl val="0"/>
      </c:catAx>
      <c:valAx>
        <c:axId val="550168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169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Sheet4!$H$206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Sheet4!$H$207:$H$256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74-4FA0-8A24-AC59066AE84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16965400"/>
        <c:axId val="516966120"/>
      </c:lineChart>
      <c:catAx>
        <c:axId val="516965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966120"/>
        <c:crosses val="autoZero"/>
        <c:auto val="1"/>
        <c:lblAlgn val="ctr"/>
        <c:lblOffset val="100"/>
        <c:noMultiLvlLbl val="0"/>
      </c:catAx>
      <c:valAx>
        <c:axId val="516966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965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1</xdr:row>
      <xdr:rowOff>47624</xdr:rowOff>
    </xdr:from>
    <xdr:to>
      <xdr:col>8</xdr:col>
      <xdr:colOff>542925</xdr:colOff>
      <xdr:row>12</xdr:row>
      <xdr:rowOff>42861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466EF5-82A2-19F0-00B7-8A67B9C932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190</xdr:row>
      <xdr:rowOff>19049</xdr:rowOff>
    </xdr:from>
    <xdr:to>
      <xdr:col>10</xdr:col>
      <xdr:colOff>228600</xdr:colOff>
      <xdr:row>200</xdr:row>
      <xdr:rowOff>52386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6F29D9-9A17-29D2-212B-F5037548D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161925</xdr:colOff>
      <xdr:row>206</xdr:row>
      <xdr:rowOff>185737</xdr:rowOff>
    </xdr:from>
    <xdr:to>
      <xdr:col>16</xdr:col>
      <xdr:colOff>466725</xdr:colOff>
      <xdr:row>220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6559AA-5DF4-2D07-7D35-41CA37246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eae75eecc371719/Documents/basic%20excel%20assignmen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96.75322175926" createdVersion="8" refreshedVersion="8" minRefreshableVersion="3" recordCount="50" xr:uid="{2C3B3CAC-25DD-4691-AEEC-FAA9A9E36775}">
  <cacheSource type="worksheet">
    <worksheetSource ref="A1:H51" sheet="Sheet2" r:id="rId2"/>
  </cacheSource>
  <cacheFields count="8">
    <cacheField name="OrderID" numFmtId="0">
      <sharedItems containsSemiMixedTypes="0" containsString="0" containsNumber="1" containsInteger="1" minValue="1001" maxValue="1050"/>
    </cacheField>
    <cacheField name="CustomerName" numFmtId="0">
      <sharedItems/>
    </cacheField>
    <cacheField name="Region" numFmtId="0">
      <sharedItems/>
    </cacheField>
    <cacheField name="Product" numFmtId="0">
      <sharedItems count="5">
        <s v="Notebook"/>
        <s v="Pen"/>
        <s v="Marker"/>
        <s v="Pencil"/>
        <s v="Eraser"/>
      </sharedItems>
    </cacheField>
    <cacheField name="Quantity" numFmtId="0">
      <sharedItems containsSemiMixedTypes="0" containsString="0" containsNumber="1" containsInteger="1" minValue="5" maxValue="40"/>
    </cacheField>
    <cacheField name="UnitPrice" numFmtId="0">
      <sharedItems containsSemiMixedTypes="0" containsString="0" containsNumber="1" containsInteger="1" minValue="5" maxValue="50"/>
    </cacheField>
    <cacheField name="OrderDate" numFmtId="0">
      <sharedItems containsDate="1" containsMixedTypes="1" minDate="2024-01-02T00:00:00" maxDate="2024-12-03T00:00:00"/>
    </cacheField>
    <cacheField name="total sales" numFmtId="0">
      <sharedItems containsSemiMixedTypes="0" containsString="0" containsNumber="1" containsInteger="1" minValue="90" maxValue="8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s v="Amit Sharma"/>
    <s v="North"/>
    <x v="0"/>
    <n v="10"/>
    <n v="50"/>
    <d v="2024-05-01T00:00:00"/>
    <n v="500"/>
  </r>
  <r>
    <n v="1002"/>
    <s v="Neha Verma"/>
    <s v="South"/>
    <x v="1"/>
    <n v="20"/>
    <n v="10"/>
    <d v="2024-06-01T00:00:00"/>
    <n v="200"/>
  </r>
  <r>
    <n v="1003"/>
    <s v="Rahul Singh"/>
    <s v="East"/>
    <x v="2"/>
    <n v="15"/>
    <n v="25"/>
    <d v="2024-07-01T00:00:00"/>
    <n v="375"/>
  </r>
  <r>
    <n v="1004"/>
    <s v="Pooja Mehta"/>
    <s v="West"/>
    <x v="0"/>
    <n v="5"/>
    <n v="50"/>
    <d v="2024-08-01T00:00:00"/>
    <n v="250"/>
  </r>
  <r>
    <n v="1005"/>
    <s v="Ankit Jain"/>
    <s v="North"/>
    <x v="3"/>
    <n v="30"/>
    <n v="5"/>
    <d v="2024-10-01T00:00:00"/>
    <n v="150"/>
  </r>
  <r>
    <n v="1006"/>
    <s v="Sneha Patel"/>
    <s v="South"/>
    <x v="0"/>
    <n v="12"/>
    <n v="50"/>
    <d v="2024-11-01T00:00:00"/>
    <n v="600"/>
  </r>
  <r>
    <n v="1007"/>
    <s v="Vikas Gupta"/>
    <s v="East"/>
    <x v="4"/>
    <n v="25"/>
    <n v="8"/>
    <s v="13-01-2024"/>
    <n v="200"/>
  </r>
  <r>
    <n v="1008"/>
    <s v="Meera Nair"/>
    <s v="West"/>
    <x v="1"/>
    <n v="18"/>
    <n v="10"/>
    <s v="15-01-2024"/>
    <n v="180"/>
  </r>
  <r>
    <n v="1009"/>
    <s v="Anjali Rao"/>
    <s v="North"/>
    <x v="2"/>
    <n v="22"/>
    <n v="25"/>
    <s v="17-01-2024"/>
    <n v="550"/>
  </r>
  <r>
    <n v="1010"/>
    <s v="Manoj Das"/>
    <s v="South"/>
    <x v="0"/>
    <n v="8"/>
    <n v="50"/>
    <s v="18-01-2024"/>
    <n v="400"/>
  </r>
  <r>
    <n v="1011"/>
    <s v="Ritika Sen"/>
    <s v="East"/>
    <x v="3"/>
    <n v="40"/>
    <n v="5"/>
    <s v="19-01-2024"/>
    <n v="200"/>
  </r>
  <r>
    <n v="1012"/>
    <s v="Karan Malhotra"/>
    <s v="West"/>
    <x v="4"/>
    <n v="35"/>
    <n v="8"/>
    <s v="20-01-2024"/>
    <n v="280"/>
  </r>
  <r>
    <n v="1013"/>
    <s v="Aryan Joshi"/>
    <s v="North"/>
    <x v="0"/>
    <n v="14"/>
    <n v="50"/>
    <s v="22-01-2024"/>
    <n v="700"/>
  </r>
  <r>
    <n v="1014"/>
    <s v="Divya Kapoor"/>
    <s v="South"/>
    <x v="1"/>
    <n v="28"/>
    <n v="10"/>
    <s v="23-01-2024"/>
    <n v="280"/>
  </r>
  <r>
    <n v="1015"/>
    <s v="Sahil Arora"/>
    <s v="East"/>
    <x v="2"/>
    <n v="12"/>
    <n v="25"/>
    <s v="24-01-2024"/>
    <n v="300"/>
  </r>
  <r>
    <n v="1016"/>
    <s v="Muskan Jain"/>
    <s v="West"/>
    <x v="3"/>
    <n v="25"/>
    <n v="5"/>
    <s v="26-01-2024"/>
    <n v="125"/>
  </r>
  <r>
    <n v="1017"/>
    <s v="Rohan Gupta"/>
    <s v="North"/>
    <x v="4"/>
    <n v="20"/>
    <n v="8"/>
    <s v="28-01-2024"/>
    <n v="160"/>
  </r>
  <r>
    <n v="1018"/>
    <s v="Nidhi Sharma"/>
    <s v="South"/>
    <x v="0"/>
    <n v="10"/>
    <n v="50"/>
    <s v="29-01-2024"/>
    <n v="500"/>
  </r>
  <r>
    <n v="1019"/>
    <s v="Tarun Verma"/>
    <s v="East"/>
    <x v="1"/>
    <n v="15"/>
    <n v="10"/>
    <s v="30-01-2024"/>
    <n v="150"/>
  </r>
  <r>
    <n v="1020"/>
    <s v="Simran Kaur"/>
    <s v="West"/>
    <x v="2"/>
    <n v="18"/>
    <n v="25"/>
    <d v="2024-01-02T00:00:00"/>
    <n v="450"/>
  </r>
  <r>
    <n v="1021"/>
    <s v="Deepak Rao"/>
    <s v="North"/>
    <x v="0"/>
    <n v="9"/>
    <n v="50"/>
    <d v="2024-02-02T00:00:00"/>
    <n v="450"/>
  </r>
  <r>
    <n v="1022"/>
    <s v="Payal Mehta"/>
    <s v="South"/>
    <x v="3"/>
    <n v="35"/>
    <n v="5"/>
    <d v="2024-03-02T00:00:00"/>
    <n v="175"/>
  </r>
  <r>
    <n v="1023"/>
    <s v="Aditya Singh"/>
    <s v="East"/>
    <x v="4"/>
    <n v="30"/>
    <n v="8"/>
    <d v="2024-04-02T00:00:00"/>
    <n v="240"/>
  </r>
  <r>
    <n v="1024"/>
    <s v="Shreya Nair"/>
    <s v="West"/>
    <x v="0"/>
    <n v="11"/>
    <n v="50"/>
    <d v="2024-06-02T00:00:00"/>
    <n v="550"/>
  </r>
  <r>
    <n v="1025"/>
    <s v="Sanjay Kumar"/>
    <s v="North"/>
    <x v="1"/>
    <n v="14"/>
    <n v="10"/>
    <d v="2024-07-02T00:00:00"/>
    <n v="140"/>
  </r>
  <r>
    <n v="1026"/>
    <s v="Aarti Sharma"/>
    <s v="South"/>
    <x v="2"/>
    <n v="16"/>
    <n v="25"/>
    <d v="2024-08-02T00:00:00"/>
    <n v="400"/>
  </r>
  <r>
    <n v="1027"/>
    <s v="Rajesh Patel"/>
    <s v="East"/>
    <x v="3"/>
    <n v="22"/>
    <n v="5"/>
    <d v="2024-09-02T00:00:00"/>
    <n v="110"/>
  </r>
  <r>
    <n v="1028"/>
    <s v="Preeti Joshi"/>
    <s v="West"/>
    <x v="4"/>
    <n v="27"/>
    <n v="8"/>
    <d v="2024-10-02T00:00:00"/>
    <n v="216"/>
  </r>
  <r>
    <n v="1029"/>
    <s v="Anurag Mishra"/>
    <s v="North"/>
    <x v="0"/>
    <n v="13"/>
    <n v="50"/>
    <d v="2024-12-02T00:00:00"/>
    <n v="650"/>
  </r>
  <r>
    <n v="1030"/>
    <s v="Sanya Kapoor"/>
    <s v="South"/>
    <x v="1"/>
    <n v="32"/>
    <n v="10"/>
    <s v="13-02-2024"/>
    <n v="320"/>
  </r>
  <r>
    <n v="1031"/>
    <s v="Harsh Yadav"/>
    <s v="East"/>
    <x v="2"/>
    <n v="10"/>
    <n v="25"/>
    <s v="14-02-2024"/>
    <n v="250"/>
  </r>
  <r>
    <n v="1032"/>
    <s v="Kajal Rani"/>
    <s v="West"/>
    <x v="3"/>
    <n v="18"/>
    <n v="5"/>
    <s v="16-02-2024"/>
    <n v="90"/>
  </r>
  <r>
    <n v="1033"/>
    <s v="Varun Sharma"/>
    <s v="North"/>
    <x v="4"/>
    <n v="22"/>
    <n v="8"/>
    <s v="17-02-2024"/>
    <n v="176"/>
  </r>
  <r>
    <n v="1034"/>
    <s v="Swati Arora"/>
    <s v="South"/>
    <x v="0"/>
    <n v="17"/>
    <n v="50"/>
    <s v="18-02-2024"/>
    <n v="850"/>
  </r>
  <r>
    <n v="1035"/>
    <s v="Akhil Jain"/>
    <s v="East"/>
    <x v="1"/>
    <n v="19"/>
    <n v="10"/>
    <s v="19-02-2024"/>
    <n v="190"/>
  </r>
  <r>
    <n v="1036"/>
    <s v="Priyanka Das"/>
    <s v="West"/>
    <x v="2"/>
    <n v="15"/>
    <n v="25"/>
    <s v="21-02-2024"/>
    <n v="375"/>
  </r>
  <r>
    <n v="1037"/>
    <s v="Ravi Nair"/>
    <s v="North"/>
    <x v="3"/>
    <n v="28"/>
    <n v="5"/>
    <s v="22-02-2024"/>
    <n v="140"/>
  </r>
  <r>
    <n v="1038"/>
    <s v="Komal Singh"/>
    <s v="South"/>
    <x v="4"/>
    <n v="24"/>
    <n v="8"/>
    <s v="23-02-2024"/>
    <n v="192"/>
  </r>
  <r>
    <n v="1039"/>
    <s v="Ayesha Khan"/>
    <s v="East"/>
    <x v="0"/>
    <n v="16"/>
    <n v="50"/>
    <s v="25-02-2024"/>
    <n v="800"/>
  </r>
  <r>
    <n v="1040"/>
    <s v="Arjun Mehta"/>
    <s v="West"/>
    <x v="1"/>
    <n v="27"/>
    <n v="10"/>
    <s v="26-02-2024"/>
    <n v="270"/>
  </r>
  <r>
    <n v="1041"/>
    <s v="Sonali Gupta"/>
    <s v="North"/>
    <x v="2"/>
    <n v="21"/>
    <n v="25"/>
    <s v="27-02-2024"/>
    <n v="525"/>
  </r>
  <r>
    <n v="1042"/>
    <s v="Neeraj Kapoor"/>
    <s v="South"/>
    <x v="3"/>
    <n v="30"/>
    <n v="5"/>
    <s v="28-02-2024"/>
    <n v="150"/>
  </r>
  <r>
    <n v="1043"/>
    <s v="Shruti Sharma"/>
    <s v="East"/>
    <x v="4"/>
    <n v="26"/>
    <n v="8"/>
    <d v="2024-01-03T00:00:00"/>
    <n v="208"/>
  </r>
  <r>
    <n v="1044"/>
    <s v="Yash Arora"/>
    <s v="West"/>
    <x v="0"/>
    <n v="14"/>
    <n v="50"/>
    <d v="2024-02-03T00:00:00"/>
    <n v="700"/>
  </r>
  <r>
    <n v="1045"/>
    <s v="Manish Das"/>
    <s v="North"/>
    <x v="1"/>
    <n v="20"/>
    <n v="10"/>
    <d v="2024-03-03T00:00:00"/>
    <n v="200"/>
  </r>
  <r>
    <n v="1046"/>
    <s v="Rupal Nair"/>
    <s v="South"/>
    <x v="2"/>
    <n v="17"/>
    <n v="25"/>
    <d v="2024-04-03T00:00:00"/>
    <n v="425"/>
  </r>
  <r>
    <n v="1047"/>
    <s v="Sonia Verma"/>
    <s v="East"/>
    <x v="3"/>
    <n v="19"/>
    <n v="5"/>
    <d v="2024-05-03T00:00:00"/>
    <n v="95"/>
  </r>
  <r>
    <n v="1048"/>
    <s v="Kunal Singh"/>
    <s v="West"/>
    <x v="4"/>
    <n v="32"/>
    <n v="8"/>
    <d v="2024-06-03T00:00:00"/>
    <n v="256"/>
  </r>
  <r>
    <n v="1049"/>
    <s v="Ritika Jain"/>
    <s v="North"/>
    <x v="0"/>
    <n v="12"/>
    <n v="50"/>
    <d v="2024-07-03T00:00:00"/>
    <n v="600"/>
  </r>
  <r>
    <n v="1050"/>
    <s v="Vivek Malhotra"/>
    <s v="South"/>
    <x v="1"/>
    <n v="25"/>
    <n v="10"/>
    <d v="2024-08-03T00:00:00"/>
    <n v="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1170DE-BDE3-477D-BC1D-A3C95A99E543}" name="PivotTable1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8" firstHeaderRow="1" firstDataRow="1" firstDataCol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4"/>
        <item x="2"/>
        <item x="0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total sa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reenmalik199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BBF1F-FD4F-45F4-A080-DDCDEF34D31A}">
  <dimension ref="A3:B8"/>
  <sheetViews>
    <sheetView workbookViewId="0">
      <selection activeCell="F17" sqref="F17"/>
    </sheetView>
  </sheetViews>
  <sheetFormatPr defaultRowHeight="15"/>
  <cols>
    <col min="1" max="1" width="10.140625" bestFit="1" customWidth="1"/>
    <col min="2" max="2" width="16.7109375" bestFit="1" customWidth="1"/>
  </cols>
  <sheetData>
    <row r="3" spans="1:2">
      <c r="A3" s="14" t="s">
        <v>9</v>
      </c>
      <c r="B3" t="s">
        <v>115</v>
      </c>
    </row>
    <row r="4" spans="1:2">
      <c r="A4" t="s">
        <v>28</v>
      </c>
      <c r="B4">
        <v>1928</v>
      </c>
    </row>
    <row r="5" spans="1:2">
      <c r="A5" t="s">
        <v>21</v>
      </c>
      <c r="B5">
        <v>3650</v>
      </c>
    </row>
    <row r="6" spans="1:2">
      <c r="A6" t="s">
        <v>15</v>
      </c>
      <c r="B6">
        <v>7550</v>
      </c>
    </row>
    <row r="7" spans="1:2">
      <c r="A7" t="s">
        <v>18</v>
      </c>
      <c r="B7">
        <v>2180</v>
      </c>
    </row>
    <row r="8" spans="1:2">
      <c r="A8" t="s">
        <v>25</v>
      </c>
      <c r="B8">
        <v>1235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E1B1-D674-4346-ACF4-85AB591EB713}">
  <dimension ref="A2:J256"/>
  <sheetViews>
    <sheetView tabSelected="1" zoomScaleNormal="100" workbookViewId="0">
      <selection activeCell="C6" sqref="C6"/>
    </sheetView>
  </sheetViews>
  <sheetFormatPr defaultRowHeight="15"/>
  <sheetData>
    <row r="2" spans="1:4">
      <c r="A2" t="s">
        <v>120</v>
      </c>
      <c r="B2" t="s">
        <v>121</v>
      </c>
    </row>
    <row r="3" spans="1:4">
      <c r="A3" t="s">
        <v>122</v>
      </c>
      <c r="B3" s="6" t="s">
        <v>123</v>
      </c>
    </row>
    <row r="4" spans="1:4">
      <c r="A4" t="s">
        <v>124</v>
      </c>
    </row>
    <row r="7" spans="1:4">
      <c r="A7" t="s">
        <v>99</v>
      </c>
    </row>
    <row r="9" spans="1:4">
      <c r="A9" t="s">
        <v>100</v>
      </c>
    </row>
    <row r="11" spans="1:4" ht="15.75">
      <c r="A11" s="7" t="s">
        <v>101</v>
      </c>
      <c r="D11" s="6"/>
    </row>
    <row r="12" spans="1:4" ht="15.75">
      <c r="A12" s="8" t="s">
        <v>108</v>
      </c>
    </row>
    <row r="14" spans="1:4">
      <c r="A14" t="s">
        <v>102</v>
      </c>
      <c r="B14" t="s">
        <v>1</v>
      </c>
    </row>
    <row r="15" spans="1:4">
      <c r="A15" t="s">
        <v>103</v>
      </c>
      <c r="B15">
        <v>500000</v>
      </c>
      <c r="C15">
        <f>SUM(B15+B16)</f>
        <v>510500</v>
      </c>
    </row>
    <row r="16" spans="1:4">
      <c r="A16" t="s">
        <v>104</v>
      </c>
      <c r="B16">
        <v>10500</v>
      </c>
    </row>
    <row r="17" spans="1:9">
      <c r="A17" t="s">
        <v>105</v>
      </c>
      <c r="B17">
        <v>25000</v>
      </c>
    </row>
    <row r="19" spans="1:9">
      <c r="A19" s="9" t="s">
        <v>106</v>
      </c>
    </row>
    <row r="20" spans="1:9">
      <c r="A20" s="9"/>
    </row>
    <row r="21" spans="1:9">
      <c r="A21" t="s">
        <v>107</v>
      </c>
    </row>
    <row r="22" spans="1:9">
      <c r="A22" t="s">
        <v>0</v>
      </c>
      <c r="B22" t="s">
        <v>1</v>
      </c>
      <c r="C22" t="s">
        <v>2</v>
      </c>
    </row>
    <row r="23" spans="1:9">
      <c r="A23" t="s">
        <v>3</v>
      </c>
      <c r="B23">
        <v>90</v>
      </c>
      <c r="C23">
        <v>1000</v>
      </c>
      <c r="D23">
        <f>AVERAGEIFS(C23:C25,B23:B25,"&gt;100",B23:B25,"&lt;300")</f>
        <v>1350</v>
      </c>
    </row>
    <row r="24" spans="1:9">
      <c r="A24" t="s">
        <v>4</v>
      </c>
      <c r="B24">
        <v>150</v>
      </c>
      <c r="C24">
        <v>1200</v>
      </c>
    </row>
    <row r="25" spans="1:9">
      <c r="A25" t="s">
        <v>5</v>
      </c>
      <c r="B25">
        <v>250</v>
      </c>
      <c r="C25">
        <v>1500</v>
      </c>
    </row>
    <row r="27" spans="1:9" ht="15.75">
      <c r="A27" s="10" t="s">
        <v>109</v>
      </c>
      <c r="B27" s="11"/>
      <c r="C27" s="11"/>
      <c r="D27" s="11"/>
      <c r="E27" s="11"/>
      <c r="F27" s="11"/>
      <c r="G27" s="11"/>
      <c r="H27" s="11"/>
      <c r="I27" s="11"/>
    </row>
    <row r="28" spans="1:9" ht="16.5" thickBot="1">
      <c r="A28" s="12" t="s">
        <v>110</v>
      </c>
      <c r="B28" s="11"/>
      <c r="C28" s="11"/>
      <c r="D28" s="11"/>
      <c r="E28" s="11"/>
      <c r="F28" s="11"/>
      <c r="G28" s="11"/>
      <c r="H28" s="11"/>
      <c r="I28" s="11"/>
    </row>
    <row r="29" spans="1:9" ht="15.75" thickBo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  <c r="F29" s="1" t="s">
        <v>11</v>
      </c>
      <c r="G29" s="1" t="s">
        <v>12</v>
      </c>
      <c r="H29" s="2"/>
      <c r="I29" s="2"/>
    </row>
    <row r="30" spans="1:9" ht="15.75" thickBot="1">
      <c r="A30" s="3">
        <v>1001</v>
      </c>
      <c r="B30" s="4" t="s">
        <v>13</v>
      </c>
      <c r="C30" s="4" t="s">
        <v>14</v>
      </c>
      <c r="D30" s="4" t="s">
        <v>15</v>
      </c>
      <c r="E30" s="3">
        <v>10</v>
      </c>
      <c r="F30" s="3">
        <v>50</v>
      </c>
      <c r="G30" s="5">
        <v>45413</v>
      </c>
      <c r="H30" s="2"/>
      <c r="I30" s="2">
        <f>COUNTA(B30:B79)</f>
        <v>50</v>
      </c>
    </row>
    <row r="31" spans="1:9" ht="15.75" thickBot="1">
      <c r="A31" s="3">
        <v>1002</v>
      </c>
      <c r="B31" s="4" t="s">
        <v>16</v>
      </c>
      <c r="C31" s="4" t="s">
        <v>17</v>
      </c>
      <c r="D31" s="4" t="s">
        <v>18</v>
      </c>
      <c r="E31" s="3">
        <v>20</v>
      </c>
      <c r="F31" s="3">
        <v>10</v>
      </c>
      <c r="G31" s="5">
        <v>45444</v>
      </c>
      <c r="H31" s="2"/>
      <c r="I31" s="2"/>
    </row>
    <row r="32" spans="1:9" ht="15.75" thickBot="1">
      <c r="A32" s="3">
        <v>1003</v>
      </c>
      <c r="B32" s="4" t="s">
        <v>19</v>
      </c>
      <c r="C32" s="4" t="s">
        <v>20</v>
      </c>
      <c r="D32" s="4" t="s">
        <v>21</v>
      </c>
      <c r="E32" s="3">
        <v>15</v>
      </c>
      <c r="F32" s="3">
        <v>25</v>
      </c>
      <c r="G32" s="5">
        <v>45474</v>
      </c>
      <c r="H32" s="2"/>
      <c r="I32" s="2"/>
    </row>
    <row r="33" spans="1:9" ht="15.75" thickBot="1">
      <c r="A33" s="3">
        <v>1004</v>
      </c>
      <c r="B33" s="4" t="s">
        <v>22</v>
      </c>
      <c r="C33" s="4" t="s">
        <v>23</v>
      </c>
      <c r="D33" s="4" t="s">
        <v>15</v>
      </c>
      <c r="E33" s="3">
        <v>5</v>
      </c>
      <c r="F33" s="3">
        <v>50</v>
      </c>
      <c r="G33" s="5">
        <v>45505</v>
      </c>
      <c r="H33" s="2"/>
      <c r="I33" s="2"/>
    </row>
    <row r="34" spans="1:9" ht="15.75" thickBot="1">
      <c r="A34" s="3">
        <v>1005</v>
      </c>
      <c r="B34" s="4" t="s">
        <v>24</v>
      </c>
      <c r="C34" s="4" t="s">
        <v>14</v>
      </c>
      <c r="D34" s="4" t="s">
        <v>25</v>
      </c>
      <c r="E34" s="3">
        <v>30</v>
      </c>
      <c r="F34" s="3">
        <v>5</v>
      </c>
      <c r="G34" s="5">
        <v>45566</v>
      </c>
      <c r="H34" s="2"/>
      <c r="I34" s="2"/>
    </row>
    <row r="35" spans="1:9" ht="15.75" thickBot="1">
      <c r="A35" s="3">
        <v>1006</v>
      </c>
      <c r="B35" s="4" t="s">
        <v>26</v>
      </c>
      <c r="C35" s="4" t="s">
        <v>17</v>
      </c>
      <c r="D35" s="4" t="s">
        <v>15</v>
      </c>
      <c r="E35" s="3">
        <v>12</v>
      </c>
      <c r="F35" s="3">
        <v>50</v>
      </c>
      <c r="G35" s="5">
        <v>45597</v>
      </c>
      <c r="H35" s="2"/>
      <c r="I35" s="2"/>
    </row>
    <row r="36" spans="1:9" ht="15.75" thickBot="1">
      <c r="A36" s="3">
        <v>1007</v>
      </c>
      <c r="B36" s="4" t="s">
        <v>27</v>
      </c>
      <c r="C36" s="4" t="s">
        <v>20</v>
      </c>
      <c r="D36" s="4" t="s">
        <v>28</v>
      </c>
      <c r="E36" s="3">
        <v>25</v>
      </c>
      <c r="F36" s="3">
        <v>8</v>
      </c>
      <c r="G36" s="3" t="s">
        <v>29</v>
      </c>
      <c r="H36" s="2"/>
      <c r="I36" s="2"/>
    </row>
    <row r="37" spans="1:9" ht="15.75" thickBot="1">
      <c r="A37" s="3">
        <v>1008</v>
      </c>
      <c r="B37" s="4" t="s">
        <v>30</v>
      </c>
      <c r="C37" s="4" t="s">
        <v>23</v>
      </c>
      <c r="D37" s="4" t="s">
        <v>18</v>
      </c>
      <c r="E37" s="3">
        <v>18</v>
      </c>
      <c r="F37" s="3">
        <v>10</v>
      </c>
      <c r="G37" s="3" t="s">
        <v>31</v>
      </c>
      <c r="H37" s="2"/>
      <c r="I37" s="2"/>
    </row>
    <row r="38" spans="1:9" ht="15.75" thickBot="1">
      <c r="A38" s="3">
        <v>1009</v>
      </c>
      <c r="B38" s="4" t="s">
        <v>32</v>
      </c>
      <c r="C38" s="4" t="s">
        <v>14</v>
      </c>
      <c r="D38" s="4" t="s">
        <v>21</v>
      </c>
      <c r="E38" s="3">
        <v>22</v>
      </c>
      <c r="F38" s="3">
        <v>25</v>
      </c>
      <c r="G38" s="3" t="s">
        <v>33</v>
      </c>
      <c r="H38" s="2"/>
      <c r="I38" s="2"/>
    </row>
    <row r="39" spans="1:9" ht="15.75" thickBot="1">
      <c r="A39" s="3">
        <v>1010</v>
      </c>
      <c r="B39" s="4" t="s">
        <v>34</v>
      </c>
      <c r="C39" s="4" t="s">
        <v>17</v>
      </c>
      <c r="D39" s="4" t="s">
        <v>15</v>
      </c>
      <c r="E39" s="3">
        <v>8</v>
      </c>
      <c r="F39" s="3">
        <v>50</v>
      </c>
      <c r="G39" s="3" t="s">
        <v>35</v>
      </c>
      <c r="H39" s="2"/>
      <c r="I39" s="2"/>
    </row>
    <row r="40" spans="1:9" ht="15.75" thickBot="1">
      <c r="A40" s="3">
        <v>1011</v>
      </c>
      <c r="B40" s="4" t="s">
        <v>36</v>
      </c>
      <c r="C40" s="4" t="s">
        <v>20</v>
      </c>
      <c r="D40" s="4" t="s">
        <v>25</v>
      </c>
      <c r="E40" s="3">
        <v>40</v>
      </c>
      <c r="F40" s="3">
        <v>5</v>
      </c>
      <c r="G40" s="3" t="s">
        <v>37</v>
      </c>
      <c r="H40" s="2"/>
      <c r="I40" s="2"/>
    </row>
    <row r="41" spans="1:9" ht="15.75" thickBot="1">
      <c r="A41" s="3">
        <v>1012</v>
      </c>
      <c r="B41" s="4" t="s">
        <v>38</v>
      </c>
      <c r="C41" s="4" t="s">
        <v>23</v>
      </c>
      <c r="D41" s="4" t="s">
        <v>28</v>
      </c>
      <c r="E41" s="3">
        <v>35</v>
      </c>
      <c r="F41" s="3">
        <v>8</v>
      </c>
      <c r="G41" s="3" t="s">
        <v>39</v>
      </c>
      <c r="H41" s="2"/>
      <c r="I41" s="2"/>
    </row>
    <row r="42" spans="1:9" ht="15.75" thickBot="1">
      <c r="A42" s="3">
        <v>1013</v>
      </c>
      <c r="B42" s="4" t="s">
        <v>40</v>
      </c>
      <c r="C42" s="4" t="s">
        <v>14</v>
      </c>
      <c r="D42" s="4" t="s">
        <v>15</v>
      </c>
      <c r="E42" s="3">
        <v>14</v>
      </c>
      <c r="F42" s="3">
        <v>50</v>
      </c>
      <c r="G42" s="3" t="s">
        <v>41</v>
      </c>
      <c r="H42" s="2"/>
      <c r="I42" s="2"/>
    </row>
    <row r="43" spans="1:9" ht="15.75" thickBot="1">
      <c r="A43" s="3">
        <v>1014</v>
      </c>
      <c r="B43" s="4" t="s">
        <v>42</v>
      </c>
      <c r="C43" s="4" t="s">
        <v>17</v>
      </c>
      <c r="D43" s="4" t="s">
        <v>18</v>
      </c>
      <c r="E43" s="3">
        <v>28</v>
      </c>
      <c r="F43" s="3">
        <v>10</v>
      </c>
      <c r="G43" s="3" t="s">
        <v>43</v>
      </c>
      <c r="H43" s="2"/>
      <c r="I43" s="2"/>
    </row>
    <row r="44" spans="1:9" ht="15.75" thickBot="1">
      <c r="A44" s="3">
        <v>1015</v>
      </c>
      <c r="B44" s="4" t="s">
        <v>44</v>
      </c>
      <c r="C44" s="4" t="s">
        <v>20</v>
      </c>
      <c r="D44" s="4" t="s">
        <v>21</v>
      </c>
      <c r="E44" s="3">
        <v>12</v>
      </c>
      <c r="F44" s="3">
        <v>25</v>
      </c>
      <c r="G44" s="3" t="s">
        <v>45</v>
      </c>
      <c r="H44" s="2"/>
      <c r="I44" s="2"/>
    </row>
    <row r="45" spans="1:9" ht="15.75" thickBot="1">
      <c r="A45" s="3">
        <v>1016</v>
      </c>
      <c r="B45" s="4" t="s">
        <v>46</v>
      </c>
      <c r="C45" s="4" t="s">
        <v>23</v>
      </c>
      <c r="D45" s="4" t="s">
        <v>25</v>
      </c>
      <c r="E45" s="3">
        <v>25</v>
      </c>
      <c r="F45" s="3">
        <v>5</v>
      </c>
      <c r="G45" s="3" t="s">
        <v>47</v>
      </c>
      <c r="H45" s="2"/>
      <c r="I45" s="2"/>
    </row>
    <row r="46" spans="1:9" ht="15.75" thickBot="1">
      <c r="A46" s="3">
        <v>1017</v>
      </c>
      <c r="B46" s="4" t="s">
        <v>48</v>
      </c>
      <c r="C46" s="4" t="s">
        <v>14</v>
      </c>
      <c r="D46" s="4" t="s">
        <v>28</v>
      </c>
      <c r="E46" s="3">
        <v>20</v>
      </c>
      <c r="F46" s="3">
        <v>8</v>
      </c>
      <c r="G46" s="3" t="s">
        <v>49</v>
      </c>
      <c r="H46" s="2"/>
      <c r="I46" s="2"/>
    </row>
    <row r="47" spans="1:9" ht="15.75" thickBot="1">
      <c r="A47" s="3">
        <v>1018</v>
      </c>
      <c r="B47" s="4" t="s">
        <v>50</v>
      </c>
      <c r="C47" s="4" t="s">
        <v>17</v>
      </c>
      <c r="D47" s="4" t="s">
        <v>15</v>
      </c>
      <c r="E47" s="3">
        <v>10</v>
      </c>
      <c r="F47" s="3">
        <v>50</v>
      </c>
      <c r="G47" s="3" t="s">
        <v>51</v>
      </c>
      <c r="H47" s="2"/>
      <c r="I47" s="2"/>
    </row>
    <row r="48" spans="1:9" ht="15.75" thickBot="1">
      <c r="A48" s="3">
        <v>1019</v>
      </c>
      <c r="B48" s="4" t="s">
        <v>52</v>
      </c>
      <c r="C48" s="4" t="s">
        <v>20</v>
      </c>
      <c r="D48" s="4" t="s">
        <v>18</v>
      </c>
      <c r="E48" s="3">
        <v>15</v>
      </c>
      <c r="F48" s="3">
        <v>10</v>
      </c>
      <c r="G48" s="3" t="s">
        <v>53</v>
      </c>
      <c r="H48" s="2"/>
      <c r="I48" s="2"/>
    </row>
    <row r="49" spans="1:9" ht="15.75" thickBot="1">
      <c r="A49" s="3">
        <v>1020</v>
      </c>
      <c r="B49" s="4" t="s">
        <v>54</v>
      </c>
      <c r="C49" s="4" t="s">
        <v>23</v>
      </c>
      <c r="D49" s="4" t="s">
        <v>21</v>
      </c>
      <c r="E49" s="3">
        <v>18</v>
      </c>
      <c r="F49" s="3">
        <v>25</v>
      </c>
      <c r="G49" s="5">
        <v>45293</v>
      </c>
      <c r="H49" s="2"/>
      <c r="I49" s="2"/>
    </row>
    <row r="50" spans="1:9" ht="15.75" thickBot="1">
      <c r="A50" s="3">
        <v>1021</v>
      </c>
      <c r="B50" s="4" t="s">
        <v>55</v>
      </c>
      <c r="C50" s="4" t="s">
        <v>14</v>
      </c>
      <c r="D50" s="4" t="s">
        <v>15</v>
      </c>
      <c r="E50" s="3">
        <v>9</v>
      </c>
      <c r="F50" s="3">
        <v>50</v>
      </c>
      <c r="G50" s="5">
        <v>45324</v>
      </c>
      <c r="H50" s="2"/>
      <c r="I50" s="2"/>
    </row>
    <row r="51" spans="1:9" ht="15.75" thickBot="1">
      <c r="A51" s="3">
        <v>1022</v>
      </c>
      <c r="B51" s="4" t="s">
        <v>56</v>
      </c>
      <c r="C51" s="4" t="s">
        <v>17</v>
      </c>
      <c r="D51" s="4" t="s">
        <v>25</v>
      </c>
      <c r="E51" s="3">
        <v>35</v>
      </c>
      <c r="F51" s="3">
        <v>5</v>
      </c>
      <c r="G51" s="5">
        <v>45353</v>
      </c>
      <c r="H51" s="2"/>
      <c r="I51" s="2"/>
    </row>
    <row r="52" spans="1:9" ht="15.75" thickBot="1">
      <c r="A52" s="3">
        <v>1023</v>
      </c>
      <c r="B52" s="4" t="s">
        <v>57</v>
      </c>
      <c r="C52" s="4" t="s">
        <v>20</v>
      </c>
      <c r="D52" s="4" t="s">
        <v>28</v>
      </c>
      <c r="E52" s="3">
        <v>30</v>
      </c>
      <c r="F52" s="3">
        <v>8</v>
      </c>
      <c r="G52" s="5">
        <v>45384</v>
      </c>
      <c r="H52" s="2"/>
      <c r="I52" s="2"/>
    </row>
    <row r="53" spans="1:9" ht="15.75" thickBot="1">
      <c r="A53" s="3">
        <v>1024</v>
      </c>
      <c r="B53" s="4" t="s">
        <v>58</v>
      </c>
      <c r="C53" s="4" t="s">
        <v>23</v>
      </c>
      <c r="D53" s="4" t="s">
        <v>15</v>
      </c>
      <c r="E53" s="3">
        <v>11</v>
      </c>
      <c r="F53" s="3">
        <v>50</v>
      </c>
      <c r="G53" s="5">
        <v>45445</v>
      </c>
      <c r="H53" s="2"/>
      <c r="I53" s="2"/>
    </row>
    <row r="54" spans="1:9" ht="15.75" thickBot="1">
      <c r="A54" s="3">
        <v>1025</v>
      </c>
      <c r="B54" s="4" t="s">
        <v>59</v>
      </c>
      <c r="C54" s="4" t="s">
        <v>14</v>
      </c>
      <c r="D54" s="4" t="s">
        <v>18</v>
      </c>
      <c r="E54" s="3">
        <v>14</v>
      </c>
      <c r="F54" s="3">
        <v>10</v>
      </c>
      <c r="G54" s="5">
        <v>45475</v>
      </c>
      <c r="H54" s="2"/>
      <c r="I54" s="2"/>
    </row>
    <row r="55" spans="1:9" ht="15.75" thickBot="1">
      <c r="A55" s="3">
        <v>1026</v>
      </c>
      <c r="B55" s="4" t="s">
        <v>60</v>
      </c>
      <c r="C55" s="4" t="s">
        <v>17</v>
      </c>
      <c r="D55" s="4" t="s">
        <v>21</v>
      </c>
      <c r="E55" s="3">
        <v>16</v>
      </c>
      <c r="F55" s="3">
        <v>25</v>
      </c>
      <c r="G55" s="5">
        <v>45506</v>
      </c>
      <c r="H55" s="2"/>
      <c r="I55" s="2"/>
    </row>
    <row r="56" spans="1:9" ht="15.75" thickBot="1">
      <c r="A56" s="3">
        <v>1027</v>
      </c>
      <c r="B56" s="4" t="s">
        <v>61</v>
      </c>
      <c r="C56" s="4" t="s">
        <v>20</v>
      </c>
      <c r="D56" s="4" t="s">
        <v>25</v>
      </c>
      <c r="E56" s="3">
        <v>22</v>
      </c>
      <c r="F56" s="3">
        <v>5</v>
      </c>
      <c r="G56" s="5">
        <v>45537</v>
      </c>
      <c r="H56" s="2"/>
      <c r="I56" s="2"/>
    </row>
    <row r="57" spans="1:9" ht="15.75" thickBot="1">
      <c r="A57" s="3">
        <v>1028</v>
      </c>
      <c r="B57" s="4" t="s">
        <v>62</v>
      </c>
      <c r="C57" s="4" t="s">
        <v>23</v>
      </c>
      <c r="D57" s="4" t="s">
        <v>28</v>
      </c>
      <c r="E57" s="3">
        <v>27</v>
      </c>
      <c r="F57" s="3">
        <v>8</v>
      </c>
      <c r="G57" s="5">
        <v>45567</v>
      </c>
      <c r="H57" s="2"/>
      <c r="I57" s="2"/>
    </row>
    <row r="58" spans="1:9" ht="15.75" thickBot="1">
      <c r="A58" s="3">
        <v>1029</v>
      </c>
      <c r="B58" s="4" t="s">
        <v>63</v>
      </c>
      <c r="C58" s="4" t="s">
        <v>14</v>
      </c>
      <c r="D58" s="4" t="s">
        <v>15</v>
      </c>
      <c r="E58" s="3">
        <v>13</v>
      </c>
      <c r="F58" s="3">
        <v>50</v>
      </c>
      <c r="G58" s="5">
        <v>45628</v>
      </c>
      <c r="H58" s="2"/>
      <c r="I58" s="2"/>
    </row>
    <row r="59" spans="1:9" ht="15.75" thickBot="1">
      <c r="A59" s="3">
        <v>1030</v>
      </c>
      <c r="B59" s="4" t="s">
        <v>64</v>
      </c>
      <c r="C59" s="4" t="s">
        <v>17</v>
      </c>
      <c r="D59" s="4" t="s">
        <v>18</v>
      </c>
      <c r="E59" s="3">
        <v>32</v>
      </c>
      <c r="F59" s="3">
        <v>10</v>
      </c>
      <c r="G59" s="3" t="s">
        <v>65</v>
      </c>
      <c r="H59" s="2"/>
      <c r="I59" s="2"/>
    </row>
    <row r="60" spans="1:9" ht="15.75" thickBot="1">
      <c r="A60" s="3">
        <v>1031</v>
      </c>
      <c r="B60" s="4" t="s">
        <v>66</v>
      </c>
      <c r="C60" s="4" t="s">
        <v>20</v>
      </c>
      <c r="D60" s="4" t="s">
        <v>21</v>
      </c>
      <c r="E60" s="3">
        <v>10</v>
      </c>
      <c r="F60" s="3">
        <v>25</v>
      </c>
      <c r="G60" s="3" t="s">
        <v>67</v>
      </c>
      <c r="H60" s="2"/>
      <c r="I60" s="2"/>
    </row>
    <row r="61" spans="1:9" ht="15.75" thickBot="1">
      <c r="A61" s="3">
        <v>1032</v>
      </c>
      <c r="B61" s="4" t="s">
        <v>68</v>
      </c>
      <c r="C61" s="4" t="s">
        <v>23</v>
      </c>
      <c r="D61" s="4" t="s">
        <v>25</v>
      </c>
      <c r="E61" s="3">
        <v>18</v>
      </c>
      <c r="F61" s="3">
        <v>5</v>
      </c>
      <c r="G61" s="3" t="s">
        <v>69</v>
      </c>
      <c r="H61" s="2"/>
      <c r="I61" s="2"/>
    </row>
    <row r="62" spans="1:9" ht="15.75" thickBot="1">
      <c r="A62" s="3">
        <v>1033</v>
      </c>
      <c r="B62" s="4" t="s">
        <v>70</v>
      </c>
      <c r="C62" s="4" t="s">
        <v>14</v>
      </c>
      <c r="D62" s="4" t="s">
        <v>28</v>
      </c>
      <c r="E62" s="3">
        <v>22</v>
      </c>
      <c r="F62" s="3">
        <v>8</v>
      </c>
      <c r="G62" s="3" t="s">
        <v>71</v>
      </c>
      <c r="H62" s="2"/>
      <c r="I62" s="2"/>
    </row>
    <row r="63" spans="1:9" ht="15.75" thickBot="1">
      <c r="A63" s="3">
        <v>1034</v>
      </c>
      <c r="B63" s="4" t="s">
        <v>72</v>
      </c>
      <c r="C63" s="4" t="s">
        <v>17</v>
      </c>
      <c r="D63" s="4" t="s">
        <v>15</v>
      </c>
      <c r="E63" s="3">
        <v>17</v>
      </c>
      <c r="F63" s="3">
        <v>50</v>
      </c>
      <c r="G63" s="3" t="s">
        <v>73</v>
      </c>
      <c r="H63" s="2"/>
      <c r="I63" s="2"/>
    </row>
    <row r="64" spans="1:9" ht="15.75" thickBot="1">
      <c r="A64" s="3">
        <v>1035</v>
      </c>
      <c r="B64" s="4" t="s">
        <v>74</v>
      </c>
      <c r="C64" s="4" t="s">
        <v>20</v>
      </c>
      <c r="D64" s="4" t="s">
        <v>18</v>
      </c>
      <c r="E64" s="3">
        <v>19</v>
      </c>
      <c r="F64" s="3">
        <v>10</v>
      </c>
      <c r="G64" s="3" t="s">
        <v>75</v>
      </c>
      <c r="H64" s="2"/>
      <c r="I64" s="2"/>
    </row>
    <row r="65" spans="1:9" ht="15.75" thickBot="1">
      <c r="A65" s="3">
        <v>1036</v>
      </c>
      <c r="B65" s="4" t="s">
        <v>76</v>
      </c>
      <c r="C65" s="4" t="s">
        <v>23</v>
      </c>
      <c r="D65" s="4" t="s">
        <v>21</v>
      </c>
      <c r="E65" s="3">
        <v>15</v>
      </c>
      <c r="F65" s="3">
        <v>25</v>
      </c>
      <c r="G65" s="3" t="s">
        <v>77</v>
      </c>
      <c r="H65" s="2"/>
      <c r="I65" s="2"/>
    </row>
    <row r="66" spans="1:9" ht="15.75" thickBot="1">
      <c r="A66" s="3">
        <v>1037</v>
      </c>
      <c r="B66" s="4" t="s">
        <v>78</v>
      </c>
      <c r="C66" s="4" t="s">
        <v>14</v>
      </c>
      <c r="D66" s="4" t="s">
        <v>25</v>
      </c>
      <c r="E66" s="3">
        <v>28</v>
      </c>
      <c r="F66" s="3">
        <v>5</v>
      </c>
      <c r="G66" s="3" t="s">
        <v>79</v>
      </c>
      <c r="H66" s="2"/>
      <c r="I66" s="2"/>
    </row>
    <row r="67" spans="1:9" ht="15.75" thickBot="1">
      <c r="A67" s="3">
        <v>1038</v>
      </c>
      <c r="B67" s="4" t="s">
        <v>80</v>
      </c>
      <c r="C67" s="4" t="s">
        <v>17</v>
      </c>
      <c r="D67" s="4" t="s">
        <v>28</v>
      </c>
      <c r="E67" s="3">
        <v>24</v>
      </c>
      <c r="F67" s="3">
        <v>8</v>
      </c>
      <c r="G67" s="3" t="s">
        <v>81</v>
      </c>
      <c r="H67" s="2"/>
      <c r="I67" s="2"/>
    </row>
    <row r="68" spans="1:9" ht="15.75" thickBot="1">
      <c r="A68" s="3">
        <v>1039</v>
      </c>
      <c r="B68" s="4" t="s">
        <v>82</v>
      </c>
      <c r="C68" s="4" t="s">
        <v>20</v>
      </c>
      <c r="D68" s="4" t="s">
        <v>15</v>
      </c>
      <c r="E68" s="3">
        <v>16</v>
      </c>
      <c r="F68" s="3">
        <v>50</v>
      </c>
      <c r="G68" s="3" t="s">
        <v>83</v>
      </c>
      <c r="H68" s="2"/>
      <c r="I68" s="2"/>
    </row>
    <row r="69" spans="1:9" ht="15.75" thickBot="1">
      <c r="A69" s="3">
        <v>1040</v>
      </c>
      <c r="B69" s="4" t="s">
        <v>84</v>
      </c>
      <c r="C69" s="4" t="s">
        <v>23</v>
      </c>
      <c r="D69" s="4" t="s">
        <v>18</v>
      </c>
      <c r="E69" s="3">
        <v>27</v>
      </c>
      <c r="F69" s="3">
        <v>10</v>
      </c>
      <c r="G69" s="3" t="s">
        <v>85</v>
      </c>
      <c r="H69" s="2"/>
      <c r="I69" s="2"/>
    </row>
    <row r="70" spans="1:9" ht="15.75" thickBot="1">
      <c r="A70" s="3">
        <v>1041</v>
      </c>
      <c r="B70" s="4" t="s">
        <v>86</v>
      </c>
      <c r="C70" s="4" t="s">
        <v>14</v>
      </c>
      <c r="D70" s="4" t="s">
        <v>21</v>
      </c>
      <c r="E70" s="3">
        <v>21</v>
      </c>
      <c r="F70" s="3">
        <v>25</v>
      </c>
      <c r="G70" s="3" t="s">
        <v>87</v>
      </c>
      <c r="H70" s="2"/>
      <c r="I70" s="2"/>
    </row>
    <row r="71" spans="1:9" ht="15.75" thickBot="1">
      <c r="A71" s="3">
        <v>1042</v>
      </c>
      <c r="B71" s="4" t="s">
        <v>88</v>
      </c>
      <c r="C71" s="4" t="s">
        <v>17</v>
      </c>
      <c r="D71" s="4" t="s">
        <v>25</v>
      </c>
      <c r="E71" s="3">
        <v>30</v>
      </c>
      <c r="F71" s="3">
        <v>5</v>
      </c>
      <c r="G71" s="3" t="s">
        <v>89</v>
      </c>
      <c r="H71" s="2"/>
      <c r="I71" s="2"/>
    </row>
    <row r="72" spans="1:9" ht="15.75" thickBot="1">
      <c r="A72" s="3">
        <v>1043</v>
      </c>
      <c r="B72" s="4" t="s">
        <v>90</v>
      </c>
      <c r="C72" s="4" t="s">
        <v>20</v>
      </c>
      <c r="D72" s="4" t="s">
        <v>28</v>
      </c>
      <c r="E72" s="3">
        <v>26</v>
      </c>
      <c r="F72" s="3">
        <v>8</v>
      </c>
      <c r="G72" s="5">
        <v>45294</v>
      </c>
      <c r="H72" s="2"/>
      <c r="I72" s="2"/>
    </row>
    <row r="73" spans="1:9" ht="15.75" thickBot="1">
      <c r="A73" s="3">
        <v>1044</v>
      </c>
      <c r="B73" s="4" t="s">
        <v>91</v>
      </c>
      <c r="C73" s="4" t="s">
        <v>23</v>
      </c>
      <c r="D73" s="4" t="s">
        <v>15</v>
      </c>
      <c r="E73" s="3">
        <v>14</v>
      </c>
      <c r="F73" s="3">
        <v>50</v>
      </c>
      <c r="G73" s="5">
        <v>45325</v>
      </c>
      <c r="H73" s="2"/>
      <c r="I73" s="2"/>
    </row>
    <row r="74" spans="1:9" ht="15.75" thickBot="1">
      <c r="A74" s="3">
        <v>1045</v>
      </c>
      <c r="B74" s="4" t="s">
        <v>92</v>
      </c>
      <c r="C74" s="4" t="s">
        <v>14</v>
      </c>
      <c r="D74" s="4" t="s">
        <v>18</v>
      </c>
      <c r="E74" s="3">
        <v>20</v>
      </c>
      <c r="F74" s="3">
        <v>10</v>
      </c>
      <c r="G74" s="5">
        <v>45354</v>
      </c>
      <c r="H74" s="2"/>
      <c r="I74" s="2"/>
    </row>
    <row r="75" spans="1:9" ht="15.75" thickBot="1">
      <c r="A75" s="3">
        <v>1046</v>
      </c>
      <c r="B75" s="4" t="s">
        <v>93</v>
      </c>
      <c r="C75" s="4" t="s">
        <v>17</v>
      </c>
      <c r="D75" s="4" t="s">
        <v>21</v>
      </c>
      <c r="E75" s="3">
        <v>17</v>
      </c>
      <c r="F75" s="3">
        <v>25</v>
      </c>
      <c r="G75" s="5">
        <v>45385</v>
      </c>
      <c r="H75" s="2"/>
      <c r="I75" s="2"/>
    </row>
    <row r="76" spans="1:9" ht="15.75" thickBot="1">
      <c r="A76" s="3">
        <v>1047</v>
      </c>
      <c r="B76" s="4" t="s">
        <v>94</v>
      </c>
      <c r="C76" s="4" t="s">
        <v>20</v>
      </c>
      <c r="D76" s="4" t="s">
        <v>25</v>
      </c>
      <c r="E76" s="3">
        <v>19</v>
      </c>
      <c r="F76" s="3">
        <v>5</v>
      </c>
      <c r="G76" s="5">
        <v>45415</v>
      </c>
      <c r="H76" s="2"/>
      <c r="I76" s="2"/>
    </row>
    <row r="77" spans="1:9" ht="15.75" thickBot="1">
      <c r="A77" s="3">
        <v>1048</v>
      </c>
      <c r="B77" s="4" t="s">
        <v>95</v>
      </c>
      <c r="C77" s="4" t="s">
        <v>23</v>
      </c>
      <c r="D77" s="4" t="s">
        <v>28</v>
      </c>
      <c r="E77" s="3">
        <v>32</v>
      </c>
      <c r="F77" s="3">
        <v>8</v>
      </c>
      <c r="G77" s="5">
        <v>45446</v>
      </c>
      <c r="H77" s="2"/>
      <c r="I77" s="2"/>
    </row>
    <row r="78" spans="1:9" ht="15.75" thickBot="1">
      <c r="A78" s="3">
        <v>1049</v>
      </c>
      <c r="B78" s="4" t="s">
        <v>96</v>
      </c>
      <c r="C78" s="4" t="s">
        <v>14</v>
      </c>
      <c r="D78" s="4" t="s">
        <v>15</v>
      </c>
      <c r="E78" s="3">
        <v>12</v>
      </c>
      <c r="F78" s="3">
        <v>50</v>
      </c>
      <c r="G78" s="5">
        <v>45476</v>
      </c>
      <c r="H78" s="2"/>
      <c r="I78" s="2"/>
    </row>
    <row r="79" spans="1:9" ht="15.75" thickBot="1">
      <c r="A79" s="3">
        <v>1050</v>
      </c>
      <c r="B79" s="4" t="s">
        <v>97</v>
      </c>
      <c r="C79" s="4" t="s">
        <v>17</v>
      </c>
      <c r="D79" s="4" t="s">
        <v>18</v>
      </c>
      <c r="E79" s="3">
        <v>25</v>
      </c>
      <c r="F79" s="3">
        <v>10</v>
      </c>
      <c r="G79" s="5">
        <v>45507</v>
      </c>
      <c r="H79" s="2"/>
      <c r="I79" s="2"/>
    </row>
    <row r="80" spans="1:9" ht="15.75" thickBot="1">
      <c r="A80" s="2"/>
      <c r="B80" s="2"/>
      <c r="C80" s="2"/>
      <c r="D80" s="2"/>
      <c r="E80" s="2"/>
      <c r="F80" s="2"/>
      <c r="G80" s="2"/>
      <c r="H80" s="2"/>
      <c r="I80" s="2"/>
    </row>
    <row r="81" spans="1:8" ht="15.75">
      <c r="A81" s="10" t="s">
        <v>111</v>
      </c>
    </row>
    <row r="82" spans="1:8" ht="15.75">
      <c r="A82" s="12"/>
    </row>
    <row r="83" spans="1:8" ht="15.75" thickBot="1">
      <c r="A83" t="s">
        <v>114</v>
      </c>
    </row>
    <row r="84" spans="1:8" ht="15.75" thickBot="1">
      <c r="A84" s="1" t="s">
        <v>6</v>
      </c>
      <c r="B84" s="1" t="s">
        <v>7</v>
      </c>
      <c r="C84" s="1" t="s">
        <v>8</v>
      </c>
      <c r="D84" s="1" t="s">
        <v>9</v>
      </c>
      <c r="E84" s="1" t="s">
        <v>10</v>
      </c>
      <c r="F84" s="1" t="s">
        <v>11</v>
      </c>
      <c r="G84" s="1" t="s">
        <v>12</v>
      </c>
      <c r="H84" s="13" t="s">
        <v>98</v>
      </c>
    </row>
    <row r="85" spans="1:8" ht="15.75" thickBot="1">
      <c r="A85" s="3">
        <v>1001</v>
      </c>
      <c r="B85" s="4" t="s">
        <v>13</v>
      </c>
      <c r="C85" s="4" t="s">
        <v>14</v>
      </c>
      <c r="D85" s="4" t="s">
        <v>15</v>
      </c>
      <c r="E85" s="3">
        <v>10</v>
      </c>
      <c r="F85" s="3">
        <v>50</v>
      </c>
      <c r="G85" s="5">
        <v>45413</v>
      </c>
      <c r="H85" s="2">
        <f>SUMPRODUCT(E85*F85)</f>
        <v>500</v>
      </c>
    </row>
    <row r="86" spans="1:8" ht="15.75" thickBot="1">
      <c r="A86" s="3">
        <v>1002</v>
      </c>
      <c r="B86" s="4" t="s">
        <v>16</v>
      </c>
      <c r="C86" s="4" t="s">
        <v>17</v>
      </c>
      <c r="D86" s="4" t="s">
        <v>18</v>
      </c>
      <c r="E86" s="3">
        <v>20</v>
      </c>
      <c r="F86" s="3">
        <v>10</v>
      </c>
      <c r="G86" s="5">
        <v>45444</v>
      </c>
      <c r="H86" s="2">
        <f t="shared" ref="H86:H134" si="0">SUMPRODUCT(E86*F86)</f>
        <v>200</v>
      </c>
    </row>
    <row r="87" spans="1:8" ht="15.75" thickBot="1">
      <c r="A87" s="3">
        <v>1003</v>
      </c>
      <c r="B87" s="4" t="s">
        <v>19</v>
      </c>
      <c r="C87" s="4" t="s">
        <v>20</v>
      </c>
      <c r="D87" s="4" t="s">
        <v>21</v>
      </c>
      <c r="E87" s="3">
        <v>15</v>
      </c>
      <c r="F87" s="3">
        <v>25</v>
      </c>
      <c r="G87" s="5">
        <v>45474</v>
      </c>
      <c r="H87" s="2">
        <f t="shared" si="0"/>
        <v>375</v>
      </c>
    </row>
    <row r="88" spans="1:8" ht="15.75" thickBot="1">
      <c r="A88" s="3">
        <v>1004</v>
      </c>
      <c r="B88" s="4" t="s">
        <v>22</v>
      </c>
      <c r="C88" s="4" t="s">
        <v>23</v>
      </c>
      <c r="D88" s="4" t="s">
        <v>15</v>
      </c>
      <c r="E88" s="3">
        <v>5</v>
      </c>
      <c r="F88" s="3">
        <v>50</v>
      </c>
      <c r="G88" s="5">
        <v>45505</v>
      </c>
      <c r="H88" s="2">
        <f t="shared" si="0"/>
        <v>250</v>
      </c>
    </row>
    <row r="89" spans="1:8" ht="15.75" thickBot="1">
      <c r="A89" s="3">
        <v>1005</v>
      </c>
      <c r="B89" s="4" t="s">
        <v>24</v>
      </c>
      <c r="C89" s="4" t="s">
        <v>14</v>
      </c>
      <c r="D89" s="4" t="s">
        <v>25</v>
      </c>
      <c r="E89" s="3">
        <v>30</v>
      </c>
      <c r="F89" s="3">
        <v>5</v>
      </c>
      <c r="G89" s="5">
        <v>45566</v>
      </c>
      <c r="H89" s="2">
        <f t="shared" si="0"/>
        <v>150</v>
      </c>
    </row>
    <row r="90" spans="1:8" ht="15.75" thickBot="1">
      <c r="A90" s="3">
        <v>1006</v>
      </c>
      <c r="B90" s="4" t="s">
        <v>26</v>
      </c>
      <c r="C90" s="4" t="s">
        <v>17</v>
      </c>
      <c r="D90" s="4" t="s">
        <v>15</v>
      </c>
      <c r="E90" s="3">
        <v>12</v>
      </c>
      <c r="F90" s="3">
        <v>50</v>
      </c>
      <c r="G90" s="5">
        <v>45597</v>
      </c>
      <c r="H90" s="2">
        <f t="shared" si="0"/>
        <v>600</v>
      </c>
    </row>
    <row r="91" spans="1:8" ht="15.75" thickBot="1">
      <c r="A91" s="3">
        <v>1007</v>
      </c>
      <c r="B91" s="4" t="s">
        <v>27</v>
      </c>
      <c r="C91" s="4" t="s">
        <v>20</v>
      </c>
      <c r="D91" s="4" t="s">
        <v>28</v>
      </c>
      <c r="E91" s="3">
        <v>25</v>
      </c>
      <c r="F91" s="3">
        <v>8</v>
      </c>
      <c r="G91" s="3" t="s">
        <v>29</v>
      </c>
      <c r="H91" s="2">
        <f t="shared" si="0"/>
        <v>200</v>
      </c>
    </row>
    <row r="92" spans="1:8" ht="15.75" thickBot="1">
      <c r="A92" s="3">
        <v>1008</v>
      </c>
      <c r="B92" s="4" t="s">
        <v>30</v>
      </c>
      <c r="C92" s="4" t="s">
        <v>23</v>
      </c>
      <c r="D92" s="4" t="s">
        <v>18</v>
      </c>
      <c r="E92" s="3">
        <v>18</v>
      </c>
      <c r="F92" s="3">
        <v>10</v>
      </c>
      <c r="G92" s="3" t="s">
        <v>31</v>
      </c>
      <c r="H92" s="2">
        <f t="shared" si="0"/>
        <v>180</v>
      </c>
    </row>
    <row r="93" spans="1:8" ht="15.75" thickBot="1">
      <c r="A93" s="3">
        <v>1009</v>
      </c>
      <c r="B93" s="4" t="s">
        <v>32</v>
      </c>
      <c r="C93" s="4" t="s">
        <v>14</v>
      </c>
      <c r="D93" s="4" t="s">
        <v>21</v>
      </c>
      <c r="E93" s="3">
        <v>22</v>
      </c>
      <c r="F93" s="3">
        <v>25</v>
      </c>
      <c r="G93" s="3" t="s">
        <v>33</v>
      </c>
      <c r="H93" s="2">
        <f t="shared" si="0"/>
        <v>550</v>
      </c>
    </row>
    <row r="94" spans="1:8" ht="15.75" thickBot="1">
      <c r="A94" s="3">
        <v>1010</v>
      </c>
      <c r="B94" s="4" t="s">
        <v>34</v>
      </c>
      <c r="C94" s="4" t="s">
        <v>17</v>
      </c>
      <c r="D94" s="4" t="s">
        <v>15</v>
      </c>
      <c r="E94" s="3">
        <v>8</v>
      </c>
      <c r="F94" s="3">
        <v>50</v>
      </c>
      <c r="G94" s="3" t="s">
        <v>35</v>
      </c>
      <c r="H94" s="2">
        <f t="shared" si="0"/>
        <v>400</v>
      </c>
    </row>
    <row r="95" spans="1:8" ht="15.75" thickBot="1">
      <c r="A95" s="3">
        <v>1011</v>
      </c>
      <c r="B95" s="4" t="s">
        <v>36</v>
      </c>
      <c r="C95" s="4" t="s">
        <v>20</v>
      </c>
      <c r="D95" s="4" t="s">
        <v>25</v>
      </c>
      <c r="E95" s="3">
        <v>40</v>
      </c>
      <c r="F95" s="3">
        <v>5</v>
      </c>
      <c r="G95" s="3" t="s">
        <v>37</v>
      </c>
      <c r="H95" s="2">
        <f t="shared" si="0"/>
        <v>200</v>
      </c>
    </row>
    <row r="96" spans="1:8" ht="15.75" thickBot="1">
      <c r="A96" s="3">
        <v>1012</v>
      </c>
      <c r="B96" s="4" t="s">
        <v>38</v>
      </c>
      <c r="C96" s="4" t="s">
        <v>23</v>
      </c>
      <c r="D96" s="4" t="s">
        <v>28</v>
      </c>
      <c r="E96" s="3">
        <v>35</v>
      </c>
      <c r="F96" s="3">
        <v>8</v>
      </c>
      <c r="G96" s="3" t="s">
        <v>39</v>
      </c>
      <c r="H96" s="2">
        <f t="shared" si="0"/>
        <v>280</v>
      </c>
    </row>
    <row r="97" spans="1:8" ht="15.75" thickBot="1">
      <c r="A97" s="3">
        <v>1013</v>
      </c>
      <c r="B97" s="4" t="s">
        <v>40</v>
      </c>
      <c r="C97" s="4" t="s">
        <v>14</v>
      </c>
      <c r="D97" s="4" t="s">
        <v>15</v>
      </c>
      <c r="E97" s="3">
        <v>14</v>
      </c>
      <c r="F97" s="3">
        <v>50</v>
      </c>
      <c r="G97" s="3" t="s">
        <v>41</v>
      </c>
      <c r="H97" s="2">
        <f t="shared" si="0"/>
        <v>700</v>
      </c>
    </row>
    <row r="98" spans="1:8" ht="15.75" thickBot="1">
      <c r="A98" s="3">
        <v>1014</v>
      </c>
      <c r="B98" s="4" t="s">
        <v>42</v>
      </c>
      <c r="C98" s="4" t="s">
        <v>17</v>
      </c>
      <c r="D98" s="4" t="s">
        <v>18</v>
      </c>
      <c r="E98" s="3">
        <v>28</v>
      </c>
      <c r="F98" s="3">
        <v>10</v>
      </c>
      <c r="G98" s="3" t="s">
        <v>43</v>
      </c>
      <c r="H98" s="2">
        <f t="shared" si="0"/>
        <v>280</v>
      </c>
    </row>
    <row r="99" spans="1:8" ht="15.75" thickBot="1">
      <c r="A99" s="3">
        <v>1015</v>
      </c>
      <c r="B99" s="4" t="s">
        <v>44</v>
      </c>
      <c r="C99" s="4" t="s">
        <v>20</v>
      </c>
      <c r="D99" s="4" t="s">
        <v>21</v>
      </c>
      <c r="E99" s="3">
        <v>12</v>
      </c>
      <c r="F99" s="3">
        <v>25</v>
      </c>
      <c r="G99" s="3" t="s">
        <v>45</v>
      </c>
      <c r="H99" s="2">
        <f t="shared" si="0"/>
        <v>300</v>
      </c>
    </row>
    <row r="100" spans="1:8" ht="15.75" thickBot="1">
      <c r="A100" s="3">
        <v>1016</v>
      </c>
      <c r="B100" s="4" t="s">
        <v>46</v>
      </c>
      <c r="C100" s="4" t="s">
        <v>23</v>
      </c>
      <c r="D100" s="4" t="s">
        <v>25</v>
      </c>
      <c r="E100" s="3">
        <v>25</v>
      </c>
      <c r="F100" s="3">
        <v>5</v>
      </c>
      <c r="G100" s="3" t="s">
        <v>47</v>
      </c>
      <c r="H100" s="2">
        <f t="shared" si="0"/>
        <v>125</v>
      </c>
    </row>
    <row r="101" spans="1:8" ht="15.75" thickBot="1">
      <c r="A101" s="3">
        <v>1017</v>
      </c>
      <c r="B101" s="4" t="s">
        <v>48</v>
      </c>
      <c r="C101" s="4" t="s">
        <v>14</v>
      </c>
      <c r="D101" s="4" t="s">
        <v>28</v>
      </c>
      <c r="E101" s="3">
        <v>20</v>
      </c>
      <c r="F101" s="3">
        <v>8</v>
      </c>
      <c r="G101" s="3" t="s">
        <v>49</v>
      </c>
      <c r="H101" s="2">
        <f t="shared" si="0"/>
        <v>160</v>
      </c>
    </row>
    <row r="102" spans="1:8" ht="15.75" thickBot="1">
      <c r="A102" s="3">
        <v>1018</v>
      </c>
      <c r="B102" s="4" t="s">
        <v>50</v>
      </c>
      <c r="C102" s="4" t="s">
        <v>17</v>
      </c>
      <c r="D102" s="4" t="s">
        <v>15</v>
      </c>
      <c r="E102" s="3">
        <v>10</v>
      </c>
      <c r="F102" s="3">
        <v>50</v>
      </c>
      <c r="G102" s="3" t="s">
        <v>51</v>
      </c>
      <c r="H102" s="2">
        <f t="shared" si="0"/>
        <v>500</v>
      </c>
    </row>
    <row r="103" spans="1:8" ht="15.75" thickBot="1">
      <c r="A103" s="3">
        <v>1019</v>
      </c>
      <c r="B103" s="4" t="s">
        <v>52</v>
      </c>
      <c r="C103" s="4" t="s">
        <v>20</v>
      </c>
      <c r="D103" s="4" t="s">
        <v>18</v>
      </c>
      <c r="E103" s="3">
        <v>15</v>
      </c>
      <c r="F103" s="3">
        <v>10</v>
      </c>
      <c r="G103" s="3" t="s">
        <v>53</v>
      </c>
      <c r="H103" s="2">
        <f t="shared" si="0"/>
        <v>150</v>
      </c>
    </row>
    <row r="104" spans="1:8" ht="15.75" thickBot="1">
      <c r="A104" s="3">
        <v>1020</v>
      </c>
      <c r="B104" s="4" t="s">
        <v>54</v>
      </c>
      <c r="C104" s="4" t="s">
        <v>23</v>
      </c>
      <c r="D104" s="4" t="s">
        <v>21</v>
      </c>
      <c r="E104" s="3">
        <v>18</v>
      </c>
      <c r="F104" s="3">
        <v>25</v>
      </c>
      <c r="G104" s="5">
        <v>45293</v>
      </c>
      <c r="H104" s="2">
        <f t="shared" si="0"/>
        <v>450</v>
      </c>
    </row>
    <row r="105" spans="1:8" ht="15.75" thickBot="1">
      <c r="A105" s="3">
        <v>1021</v>
      </c>
      <c r="B105" s="4" t="s">
        <v>55</v>
      </c>
      <c r="C105" s="4" t="s">
        <v>14</v>
      </c>
      <c r="D105" s="4" t="s">
        <v>15</v>
      </c>
      <c r="E105" s="3">
        <v>9</v>
      </c>
      <c r="F105" s="3">
        <v>50</v>
      </c>
      <c r="G105" s="5">
        <v>45324</v>
      </c>
      <c r="H105" s="2">
        <f t="shared" si="0"/>
        <v>450</v>
      </c>
    </row>
    <row r="106" spans="1:8" ht="15.75" thickBot="1">
      <c r="A106" s="3">
        <v>1022</v>
      </c>
      <c r="B106" s="4" t="s">
        <v>56</v>
      </c>
      <c r="C106" s="4" t="s">
        <v>17</v>
      </c>
      <c r="D106" s="4" t="s">
        <v>25</v>
      </c>
      <c r="E106" s="3">
        <v>35</v>
      </c>
      <c r="F106" s="3">
        <v>5</v>
      </c>
      <c r="G106" s="5">
        <v>45353</v>
      </c>
      <c r="H106" s="2">
        <f t="shared" si="0"/>
        <v>175</v>
      </c>
    </row>
    <row r="107" spans="1:8" ht="15.75" thickBot="1">
      <c r="A107" s="3">
        <v>1023</v>
      </c>
      <c r="B107" s="4" t="s">
        <v>57</v>
      </c>
      <c r="C107" s="4" t="s">
        <v>20</v>
      </c>
      <c r="D107" s="4" t="s">
        <v>28</v>
      </c>
      <c r="E107" s="3">
        <v>30</v>
      </c>
      <c r="F107" s="3">
        <v>8</v>
      </c>
      <c r="G107" s="5">
        <v>45384</v>
      </c>
      <c r="H107" s="2">
        <f t="shared" si="0"/>
        <v>240</v>
      </c>
    </row>
    <row r="108" spans="1:8" ht="15.75" thickBot="1">
      <c r="A108" s="3">
        <v>1024</v>
      </c>
      <c r="B108" s="4" t="s">
        <v>58</v>
      </c>
      <c r="C108" s="4" t="s">
        <v>23</v>
      </c>
      <c r="D108" s="4" t="s">
        <v>15</v>
      </c>
      <c r="E108" s="3">
        <v>11</v>
      </c>
      <c r="F108" s="3">
        <v>50</v>
      </c>
      <c r="G108" s="5">
        <v>45445</v>
      </c>
      <c r="H108" s="2">
        <f t="shared" si="0"/>
        <v>550</v>
      </c>
    </row>
    <row r="109" spans="1:8" ht="15.75" thickBot="1">
      <c r="A109" s="3">
        <v>1025</v>
      </c>
      <c r="B109" s="4" t="s">
        <v>59</v>
      </c>
      <c r="C109" s="4" t="s">
        <v>14</v>
      </c>
      <c r="D109" s="4" t="s">
        <v>18</v>
      </c>
      <c r="E109" s="3">
        <v>14</v>
      </c>
      <c r="F109" s="3">
        <v>10</v>
      </c>
      <c r="G109" s="5">
        <v>45475</v>
      </c>
      <c r="H109" s="2">
        <f t="shared" si="0"/>
        <v>140</v>
      </c>
    </row>
    <row r="110" spans="1:8" ht="15.75" thickBot="1">
      <c r="A110" s="3">
        <v>1026</v>
      </c>
      <c r="B110" s="4" t="s">
        <v>60</v>
      </c>
      <c r="C110" s="4" t="s">
        <v>17</v>
      </c>
      <c r="D110" s="4" t="s">
        <v>21</v>
      </c>
      <c r="E110" s="3">
        <v>16</v>
      </c>
      <c r="F110" s="3">
        <v>25</v>
      </c>
      <c r="G110" s="5">
        <v>45506</v>
      </c>
      <c r="H110" s="2">
        <f t="shared" si="0"/>
        <v>400</v>
      </c>
    </row>
    <row r="111" spans="1:8" ht="15.75" thickBot="1">
      <c r="A111" s="3">
        <v>1027</v>
      </c>
      <c r="B111" s="4" t="s">
        <v>61</v>
      </c>
      <c r="C111" s="4" t="s">
        <v>20</v>
      </c>
      <c r="D111" s="4" t="s">
        <v>25</v>
      </c>
      <c r="E111" s="3">
        <v>22</v>
      </c>
      <c r="F111" s="3">
        <v>5</v>
      </c>
      <c r="G111" s="5">
        <v>45537</v>
      </c>
      <c r="H111" s="2">
        <f t="shared" si="0"/>
        <v>110</v>
      </c>
    </row>
    <row r="112" spans="1:8" ht="15.75" thickBot="1">
      <c r="A112" s="3">
        <v>1028</v>
      </c>
      <c r="B112" s="4" t="s">
        <v>62</v>
      </c>
      <c r="C112" s="4" t="s">
        <v>23</v>
      </c>
      <c r="D112" s="4" t="s">
        <v>28</v>
      </c>
      <c r="E112" s="3">
        <v>27</v>
      </c>
      <c r="F112" s="3">
        <v>8</v>
      </c>
      <c r="G112" s="5">
        <v>45567</v>
      </c>
      <c r="H112" s="2">
        <f t="shared" si="0"/>
        <v>216</v>
      </c>
    </row>
    <row r="113" spans="1:8" ht="15.75" thickBot="1">
      <c r="A113" s="3">
        <v>1029</v>
      </c>
      <c r="B113" s="4" t="s">
        <v>63</v>
      </c>
      <c r="C113" s="4" t="s">
        <v>14</v>
      </c>
      <c r="D113" s="4" t="s">
        <v>15</v>
      </c>
      <c r="E113" s="3">
        <v>13</v>
      </c>
      <c r="F113" s="3">
        <v>50</v>
      </c>
      <c r="G113" s="5">
        <v>45628</v>
      </c>
      <c r="H113" s="2">
        <f t="shared" si="0"/>
        <v>650</v>
      </c>
    </row>
    <row r="114" spans="1:8" ht="15.75" thickBot="1">
      <c r="A114" s="3">
        <v>1030</v>
      </c>
      <c r="B114" s="4" t="s">
        <v>64</v>
      </c>
      <c r="C114" s="4" t="s">
        <v>17</v>
      </c>
      <c r="D114" s="4" t="s">
        <v>18</v>
      </c>
      <c r="E114" s="3">
        <v>32</v>
      </c>
      <c r="F114" s="3">
        <v>10</v>
      </c>
      <c r="G114" s="3" t="s">
        <v>65</v>
      </c>
      <c r="H114" s="2">
        <f t="shared" si="0"/>
        <v>320</v>
      </c>
    </row>
    <row r="115" spans="1:8" ht="15.75" thickBot="1">
      <c r="A115" s="3">
        <v>1031</v>
      </c>
      <c r="B115" s="4" t="s">
        <v>66</v>
      </c>
      <c r="C115" s="4" t="s">
        <v>20</v>
      </c>
      <c r="D115" s="4" t="s">
        <v>21</v>
      </c>
      <c r="E115" s="3">
        <v>10</v>
      </c>
      <c r="F115" s="3">
        <v>25</v>
      </c>
      <c r="G115" s="3" t="s">
        <v>67</v>
      </c>
      <c r="H115" s="2">
        <f t="shared" si="0"/>
        <v>250</v>
      </c>
    </row>
    <row r="116" spans="1:8" ht="15.75" thickBot="1">
      <c r="A116" s="3">
        <v>1032</v>
      </c>
      <c r="B116" s="4" t="s">
        <v>68</v>
      </c>
      <c r="C116" s="4" t="s">
        <v>23</v>
      </c>
      <c r="D116" s="4" t="s">
        <v>25</v>
      </c>
      <c r="E116" s="3">
        <v>18</v>
      </c>
      <c r="F116" s="3">
        <v>5</v>
      </c>
      <c r="G116" s="3" t="s">
        <v>69</v>
      </c>
      <c r="H116" s="2">
        <f t="shared" si="0"/>
        <v>90</v>
      </c>
    </row>
    <row r="117" spans="1:8" ht="15.75" thickBot="1">
      <c r="A117" s="3">
        <v>1033</v>
      </c>
      <c r="B117" s="4" t="s">
        <v>70</v>
      </c>
      <c r="C117" s="4" t="s">
        <v>14</v>
      </c>
      <c r="D117" s="4" t="s">
        <v>28</v>
      </c>
      <c r="E117" s="3">
        <v>22</v>
      </c>
      <c r="F117" s="3">
        <v>8</v>
      </c>
      <c r="G117" s="3" t="s">
        <v>71</v>
      </c>
      <c r="H117" s="2">
        <f t="shared" si="0"/>
        <v>176</v>
      </c>
    </row>
    <row r="118" spans="1:8" ht="15.75" thickBot="1">
      <c r="A118" s="3">
        <v>1034</v>
      </c>
      <c r="B118" s="4" t="s">
        <v>72</v>
      </c>
      <c r="C118" s="4" t="s">
        <v>17</v>
      </c>
      <c r="D118" s="4" t="s">
        <v>15</v>
      </c>
      <c r="E118" s="3">
        <v>17</v>
      </c>
      <c r="F118" s="3">
        <v>50</v>
      </c>
      <c r="G118" s="3" t="s">
        <v>73</v>
      </c>
      <c r="H118" s="2">
        <f t="shared" si="0"/>
        <v>850</v>
      </c>
    </row>
    <row r="119" spans="1:8" ht="15.75" thickBot="1">
      <c r="A119" s="3">
        <v>1035</v>
      </c>
      <c r="B119" s="4" t="s">
        <v>74</v>
      </c>
      <c r="C119" s="4" t="s">
        <v>20</v>
      </c>
      <c r="D119" s="4" t="s">
        <v>18</v>
      </c>
      <c r="E119" s="3">
        <v>19</v>
      </c>
      <c r="F119" s="3">
        <v>10</v>
      </c>
      <c r="G119" s="3" t="s">
        <v>75</v>
      </c>
      <c r="H119" s="2">
        <f t="shared" si="0"/>
        <v>190</v>
      </c>
    </row>
    <row r="120" spans="1:8" ht="15.75" thickBot="1">
      <c r="A120" s="3">
        <v>1036</v>
      </c>
      <c r="B120" s="4" t="s">
        <v>76</v>
      </c>
      <c r="C120" s="4" t="s">
        <v>23</v>
      </c>
      <c r="D120" s="4" t="s">
        <v>21</v>
      </c>
      <c r="E120" s="3">
        <v>15</v>
      </c>
      <c r="F120" s="3">
        <v>25</v>
      </c>
      <c r="G120" s="3" t="s">
        <v>77</v>
      </c>
      <c r="H120" s="2">
        <f t="shared" si="0"/>
        <v>375</v>
      </c>
    </row>
    <row r="121" spans="1:8" ht="15.75" thickBot="1">
      <c r="A121" s="3">
        <v>1037</v>
      </c>
      <c r="B121" s="4" t="s">
        <v>78</v>
      </c>
      <c r="C121" s="4" t="s">
        <v>14</v>
      </c>
      <c r="D121" s="4" t="s">
        <v>25</v>
      </c>
      <c r="E121" s="3">
        <v>28</v>
      </c>
      <c r="F121" s="3">
        <v>5</v>
      </c>
      <c r="G121" s="3" t="s">
        <v>79</v>
      </c>
      <c r="H121" s="2">
        <f t="shared" si="0"/>
        <v>140</v>
      </c>
    </row>
    <row r="122" spans="1:8" ht="15.75" thickBot="1">
      <c r="A122" s="3">
        <v>1038</v>
      </c>
      <c r="B122" s="4" t="s">
        <v>80</v>
      </c>
      <c r="C122" s="4" t="s">
        <v>17</v>
      </c>
      <c r="D122" s="4" t="s">
        <v>28</v>
      </c>
      <c r="E122" s="3">
        <v>24</v>
      </c>
      <c r="F122" s="3">
        <v>8</v>
      </c>
      <c r="G122" s="3" t="s">
        <v>81</v>
      </c>
      <c r="H122" s="2">
        <f t="shared" si="0"/>
        <v>192</v>
      </c>
    </row>
    <row r="123" spans="1:8" ht="15.75" thickBot="1">
      <c r="A123" s="3">
        <v>1039</v>
      </c>
      <c r="B123" s="4" t="s">
        <v>82</v>
      </c>
      <c r="C123" s="4" t="s">
        <v>20</v>
      </c>
      <c r="D123" s="4" t="s">
        <v>15</v>
      </c>
      <c r="E123" s="3">
        <v>16</v>
      </c>
      <c r="F123" s="3">
        <v>50</v>
      </c>
      <c r="G123" s="3" t="s">
        <v>83</v>
      </c>
      <c r="H123" s="2">
        <f t="shared" si="0"/>
        <v>800</v>
      </c>
    </row>
    <row r="124" spans="1:8" ht="15.75" thickBot="1">
      <c r="A124" s="3">
        <v>1040</v>
      </c>
      <c r="B124" s="4" t="s">
        <v>84</v>
      </c>
      <c r="C124" s="4" t="s">
        <v>23</v>
      </c>
      <c r="D124" s="4" t="s">
        <v>18</v>
      </c>
      <c r="E124" s="3">
        <v>27</v>
      </c>
      <c r="F124" s="3">
        <v>10</v>
      </c>
      <c r="G124" s="3" t="s">
        <v>85</v>
      </c>
      <c r="H124" s="2">
        <f t="shared" si="0"/>
        <v>270</v>
      </c>
    </row>
    <row r="125" spans="1:8" ht="15.75" thickBot="1">
      <c r="A125" s="3">
        <v>1041</v>
      </c>
      <c r="B125" s="4" t="s">
        <v>86</v>
      </c>
      <c r="C125" s="4" t="s">
        <v>14</v>
      </c>
      <c r="D125" s="4" t="s">
        <v>21</v>
      </c>
      <c r="E125" s="3">
        <v>21</v>
      </c>
      <c r="F125" s="3">
        <v>25</v>
      </c>
      <c r="G125" s="3" t="s">
        <v>87</v>
      </c>
      <c r="H125" s="2">
        <f t="shared" si="0"/>
        <v>525</v>
      </c>
    </row>
    <row r="126" spans="1:8" ht="15.75" thickBot="1">
      <c r="A126" s="3">
        <v>1042</v>
      </c>
      <c r="B126" s="4" t="s">
        <v>88</v>
      </c>
      <c r="C126" s="4" t="s">
        <v>17</v>
      </c>
      <c r="D126" s="4" t="s">
        <v>25</v>
      </c>
      <c r="E126" s="3">
        <v>30</v>
      </c>
      <c r="F126" s="3">
        <v>5</v>
      </c>
      <c r="G126" s="3" t="s">
        <v>89</v>
      </c>
      <c r="H126" s="2">
        <f t="shared" si="0"/>
        <v>150</v>
      </c>
    </row>
    <row r="127" spans="1:8" ht="15.75" thickBot="1">
      <c r="A127" s="3">
        <v>1043</v>
      </c>
      <c r="B127" s="4" t="s">
        <v>90</v>
      </c>
      <c r="C127" s="4" t="s">
        <v>20</v>
      </c>
      <c r="D127" s="4" t="s">
        <v>28</v>
      </c>
      <c r="E127" s="3">
        <v>26</v>
      </c>
      <c r="F127" s="3">
        <v>8</v>
      </c>
      <c r="G127" s="5">
        <v>45294</v>
      </c>
      <c r="H127" s="2">
        <f t="shared" si="0"/>
        <v>208</v>
      </c>
    </row>
    <row r="128" spans="1:8" ht="15.75" thickBot="1">
      <c r="A128" s="3">
        <v>1044</v>
      </c>
      <c r="B128" s="4" t="s">
        <v>91</v>
      </c>
      <c r="C128" s="4" t="s">
        <v>23</v>
      </c>
      <c r="D128" s="4" t="s">
        <v>15</v>
      </c>
      <c r="E128" s="3">
        <v>14</v>
      </c>
      <c r="F128" s="3">
        <v>50</v>
      </c>
      <c r="G128" s="5">
        <v>45325</v>
      </c>
      <c r="H128" s="2">
        <f t="shared" si="0"/>
        <v>700</v>
      </c>
    </row>
    <row r="129" spans="1:9" ht="15.75" thickBot="1">
      <c r="A129" s="3">
        <v>1045</v>
      </c>
      <c r="B129" s="4" t="s">
        <v>92</v>
      </c>
      <c r="C129" s="4" t="s">
        <v>14</v>
      </c>
      <c r="D129" s="4" t="s">
        <v>18</v>
      </c>
      <c r="E129" s="3">
        <v>20</v>
      </c>
      <c r="F129" s="3">
        <v>10</v>
      </c>
      <c r="G129" s="5">
        <v>45354</v>
      </c>
      <c r="H129" s="2">
        <f t="shared" si="0"/>
        <v>200</v>
      </c>
    </row>
    <row r="130" spans="1:9" ht="15.75" thickBot="1">
      <c r="A130" s="3">
        <v>1046</v>
      </c>
      <c r="B130" s="4" t="s">
        <v>93</v>
      </c>
      <c r="C130" s="4" t="s">
        <v>17</v>
      </c>
      <c r="D130" s="4" t="s">
        <v>21</v>
      </c>
      <c r="E130" s="3">
        <v>17</v>
      </c>
      <c r="F130" s="3">
        <v>25</v>
      </c>
      <c r="G130" s="5">
        <v>45385</v>
      </c>
      <c r="H130" s="2">
        <f t="shared" si="0"/>
        <v>425</v>
      </c>
    </row>
    <row r="131" spans="1:9" ht="15.75" thickBot="1">
      <c r="A131" s="3">
        <v>1047</v>
      </c>
      <c r="B131" s="4" t="s">
        <v>94</v>
      </c>
      <c r="C131" s="4" t="s">
        <v>20</v>
      </c>
      <c r="D131" s="4" t="s">
        <v>25</v>
      </c>
      <c r="E131" s="3">
        <v>19</v>
      </c>
      <c r="F131" s="3">
        <v>5</v>
      </c>
      <c r="G131" s="5">
        <v>45415</v>
      </c>
      <c r="H131" s="2">
        <f t="shared" si="0"/>
        <v>95</v>
      </c>
    </row>
    <row r="132" spans="1:9" ht="15.75" thickBot="1">
      <c r="A132" s="3">
        <v>1048</v>
      </c>
      <c r="B132" s="4" t="s">
        <v>95</v>
      </c>
      <c r="C132" s="4" t="s">
        <v>23</v>
      </c>
      <c r="D132" s="4" t="s">
        <v>28</v>
      </c>
      <c r="E132" s="3">
        <v>32</v>
      </c>
      <c r="F132" s="3">
        <v>8</v>
      </c>
      <c r="G132" s="5">
        <v>45446</v>
      </c>
      <c r="H132" s="2">
        <f t="shared" si="0"/>
        <v>256</v>
      </c>
    </row>
    <row r="133" spans="1:9" ht="15.75" thickBot="1">
      <c r="A133" s="3">
        <v>1049</v>
      </c>
      <c r="B133" s="4" t="s">
        <v>96</v>
      </c>
      <c r="C133" s="4" t="s">
        <v>14</v>
      </c>
      <c r="D133" s="4" t="s">
        <v>15</v>
      </c>
      <c r="E133" s="3">
        <v>12</v>
      </c>
      <c r="F133" s="3">
        <v>50</v>
      </c>
      <c r="G133" s="5">
        <v>45476</v>
      </c>
      <c r="H133" s="2">
        <f t="shared" si="0"/>
        <v>600</v>
      </c>
    </row>
    <row r="134" spans="1:9" ht="15.75" thickBot="1">
      <c r="A134" s="3">
        <v>1050</v>
      </c>
      <c r="B134" s="4" t="s">
        <v>97</v>
      </c>
      <c r="C134" s="4" t="s">
        <v>17</v>
      </c>
      <c r="D134" s="4" t="s">
        <v>18</v>
      </c>
      <c r="E134" s="3">
        <v>25</v>
      </c>
      <c r="F134" s="3">
        <v>10</v>
      </c>
      <c r="G134" s="5">
        <v>45507</v>
      </c>
      <c r="H134" s="2">
        <f t="shared" si="0"/>
        <v>250</v>
      </c>
    </row>
    <row r="135" spans="1:9" ht="15.75" thickBot="1">
      <c r="A135" s="2"/>
      <c r="B135" s="2"/>
      <c r="C135" s="2"/>
      <c r="D135" s="2"/>
      <c r="E135" s="2"/>
      <c r="F135" s="2"/>
      <c r="G135" s="2"/>
      <c r="H135" s="2"/>
    </row>
    <row r="136" spans="1:9" ht="16.5" thickBot="1">
      <c r="A136" s="10" t="s">
        <v>112</v>
      </c>
      <c r="B136" s="2"/>
      <c r="C136" s="2"/>
      <c r="D136" s="2"/>
      <c r="E136" s="2"/>
      <c r="F136" s="2"/>
      <c r="G136" s="2"/>
      <c r="H136" s="2"/>
    </row>
    <row r="137" spans="1:9" ht="15.75" thickBot="1">
      <c r="A137" s="2" t="s">
        <v>113</v>
      </c>
      <c r="B137" s="2"/>
      <c r="C137" s="2"/>
      <c r="D137" s="2"/>
      <c r="E137" s="2"/>
      <c r="F137" s="2"/>
      <c r="G137" s="2"/>
      <c r="H137" s="2"/>
    </row>
    <row r="138" spans="1:9" ht="15.75" thickBot="1">
      <c r="A138" s="1" t="s">
        <v>6</v>
      </c>
      <c r="B138" s="1" t="s">
        <v>7</v>
      </c>
      <c r="C138" s="1" t="s">
        <v>8</v>
      </c>
      <c r="D138" s="1" t="s">
        <v>9</v>
      </c>
      <c r="E138" s="1" t="s">
        <v>10</v>
      </c>
      <c r="F138" s="1" t="s">
        <v>11</v>
      </c>
      <c r="G138" s="1" t="s">
        <v>12</v>
      </c>
      <c r="H138" s="2" t="s">
        <v>98</v>
      </c>
      <c r="I138" s="2"/>
    </row>
    <row r="139" spans="1:9" ht="15.75" thickBot="1">
      <c r="A139" s="3">
        <v>1001</v>
      </c>
      <c r="B139" s="4" t="s">
        <v>13</v>
      </c>
      <c r="C139" s="4" t="s">
        <v>14</v>
      </c>
      <c r="D139" s="4" t="s">
        <v>15</v>
      </c>
      <c r="E139" s="3">
        <v>10</v>
      </c>
      <c r="F139" s="3">
        <v>50</v>
      </c>
      <c r="G139" s="5">
        <v>45413</v>
      </c>
      <c r="H139" s="2">
        <f>SUMPRODUCT(E139*F139)</f>
        <v>500</v>
      </c>
      <c r="I139" s="2">
        <f>SUMIFS(H139:H188,D139:D188,D139,C139:C188,C139)</f>
        <v>2900</v>
      </c>
    </row>
    <row r="140" spans="1:9" ht="15.75" thickBot="1">
      <c r="A140" s="3">
        <v>1002</v>
      </c>
      <c r="B140" s="4" t="s">
        <v>16</v>
      </c>
      <c r="C140" s="4" t="s">
        <v>17</v>
      </c>
      <c r="D140" s="4" t="s">
        <v>18</v>
      </c>
      <c r="E140" s="3">
        <v>20</v>
      </c>
      <c r="F140" s="3">
        <v>10</v>
      </c>
      <c r="G140" s="5">
        <v>45444</v>
      </c>
      <c r="H140" s="2">
        <f t="shared" ref="H140:H188" si="1">SUMPRODUCT(E140*F140)</f>
        <v>200</v>
      </c>
      <c r="I140" s="2"/>
    </row>
    <row r="141" spans="1:9" ht="15.75" thickBot="1">
      <c r="A141" s="3">
        <v>1003</v>
      </c>
      <c r="B141" s="4" t="s">
        <v>19</v>
      </c>
      <c r="C141" s="4" t="s">
        <v>20</v>
      </c>
      <c r="D141" s="4" t="s">
        <v>21</v>
      </c>
      <c r="E141" s="3">
        <v>15</v>
      </c>
      <c r="F141" s="3">
        <v>25</v>
      </c>
      <c r="G141" s="5">
        <v>45474</v>
      </c>
      <c r="H141" s="2">
        <f t="shared" si="1"/>
        <v>375</v>
      </c>
      <c r="I141" s="2"/>
    </row>
    <row r="142" spans="1:9" ht="15.75" thickBot="1">
      <c r="A142" s="3">
        <v>1004</v>
      </c>
      <c r="B142" s="4" t="s">
        <v>22</v>
      </c>
      <c r="C142" s="4" t="s">
        <v>23</v>
      </c>
      <c r="D142" s="4" t="s">
        <v>15</v>
      </c>
      <c r="E142" s="3">
        <v>5</v>
      </c>
      <c r="F142" s="3">
        <v>50</v>
      </c>
      <c r="G142" s="5">
        <v>45505</v>
      </c>
      <c r="H142" s="2">
        <f t="shared" si="1"/>
        <v>250</v>
      </c>
      <c r="I142" s="2"/>
    </row>
    <row r="143" spans="1:9" ht="15.75" thickBot="1">
      <c r="A143" s="3">
        <v>1005</v>
      </c>
      <c r="B143" s="4" t="s">
        <v>24</v>
      </c>
      <c r="C143" s="4" t="s">
        <v>14</v>
      </c>
      <c r="D143" s="4" t="s">
        <v>25</v>
      </c>
      <c r="E143" s="3">
        <v>30</v>
      </c>
      <c r="F143" s="3">
        <v>5</v>
      </c>
      <c r="G143" s="5">
        <v>45566</v>
      </c>
      <c r="H143" s="2">
        <f t="shared" si="1"/>
        <v>150</v>
      </c>
      <c r="I143" s="2"/>
    </row>
    <row r="144" spans="1:9" ht="15.75" thickBot="1">
      <c r="A144" s="3">
        <v>1006</v>
      </c>
      <c r="B144" s="4" t="s">
        <v>26</v>
      </c>
      <c r="C144" s="4" t="s">
        <v>17</v>
      </c>
      <c r="D144" s="4" t="s">
        <v>15</v>
      </c>
      <c r="E144" s="3">
        <v>12</v>
      </c>
      <c r="F144" s="3">
        <v>50</v>
      </c>
      <c r="G144" s="5">
        <v>45597</v>
      </c>
      <c r="H144" s="2">
        <f t="shared" si="1"/>
        <v>600</v>
      </c>
      <c r="I144" s="2"/>
    </row>
    <row r="145" spans="1:9" ht="15.75" thickBot="1">
      <c r="A145" s="3">
        <v>1007</v>
      </c>
      <c r="B145" s="4" t="s">
        <v>27</v>
      </c>
      <c r="C145" s="4" t="s">
        <v>20</v>
      </c>
      <c r="D145" s="4" t="s">
        <v>28</v>
      </c>
      <c r="E145" s="3">
        <v>25</v>
      </c>
      <c r="F145" s="3">
        <v>8</v>
      </c>
      <c r="G145" s="3" t="s">
        <v>29</v>
      </c>
      <c r="H145" s="2">
        <f t="shared" si="1"/>
        <v>200</v>
      </c>
      <c r="I145" s="2"/>
    </row>
    <row r="146" spans="1:9" ht="15.75" thickBot="1">
      <c r="A146" s="3">
        <v>1008</v>
      </c>
      <c r="B146" s="4" t="s">
        <v>30</v>
      </c>
      <c r="C146" s="4" t="s">
        <v>23</v>
      </c>
      <c r="D146" s="4" t="s">
        <v>18</v>
      </c>
      <c r="E146" s="3">
        <v>18</v>
      </c>
      <c r="F146" s="3">
        <v>10</v>
      </c>
      <c r="G146" s="3" t="s">
        <v>31</v>
      </c>
      <c r="H146" s="2">
        <f t="shared" si="1"/>
        <v>180</v>
      </c>
      <c r="I146" s="2"/>
    </row>
    <row r="147" spans="1:9" ht="15.75" thickBot="1">
      <c r="A147" s="3">
        <v>1009</v>
      </c>
      <c r="B147" s="4" t="s">
        <v>32</v>
      </c>
      <c r="C147" s="4" t="s">
        <v>14</v>
      </c>
      <c r="D147" s="4" t="s">
        <v>21</v>
      </c>
      <c r="E147" s="3">
        <v>22</v>
      </c>
      <c r="F147" s="3">
        <v>25</v>
      </c>
      <c r="G147" s="3" t="s">
        <v>33</v>
      </c>
      <c r="H147" s="2">
        <f t="shared" si="1"/>
        <v>550</v>
      </c>
      <c r="I147" s="2"/>
    </row>
    <row r="148" spans="1:9" ht="15.75" thickBot="1">
      <c r="A148" s="3">
        <v>1010</v>
      </c>
      <c r="B148" s="4" t="s">
        <v>34</v>
      </c>
      <c r="C148" s="4" t="s">
        <v>17</v>
      </c>
      <c r="D148" s="4" t="s">
        <v>15</v>
      </c>
      <c r="E148" s="3">
        <v>8</v>
      </c>
      <c r="F148" s="3">
        <v>50</v>
      </c>
      <c r="G148" s="3" t="s">
        <v>35</v>
      </c>
      <c r="H148" s="2">
        <f t="shared" si="1"/>
        <v>400</v>
      </c>
      <c r="I148" s="2"/>
    </row>
    <row r="149" spans="1:9" ht="15.75" thickBot="1">
      <c r="A149" s="3">
        <v>1011</v>
      </c>
      <c r="B149" s="4" t="s">
        <v>36</v>
      </c>
      <c r="C149" s="4" t="s">
        <v>20</v>
      </c>
      <c r="D149" s="4" t="s">
        <v>25</v>
      </c>
      <c r="E149" s="3">
        <v>40</v>
      </c>
      <c r="F149" s="3">
        <v>5</v>
      </c>
      <c r="G149" s="3" t="s">
        <v>37</v>
      </c>
      <c r="H149" s="2">
        <f t="shared" si="1"/>
        <v>200</v>
      </c>
      <c r="I149" s="2"/>
    </row>
    <row r="150" spans="1:9" ht="15.75" thickBot="1">
      <c r="A150" s="3">
        <v>1012</v>
      </c>
      <c r="B150" s="4" t="s">
        <v>38</v>
      </c>
      <c r="C150" s="4" t="s">
        <v>23</v>
      </c>
      <c r="D150" s="4" t="s">
        <v>28</v>
      </c>
      <c r="E150" s="3">
        <v>35</v>
      </c>
      <c r="F150" s="3">
        <v>8</v>
      </c>
      <c r="G150" s="3" t="s">
        <v>39</v>
      </c>
      <c r="H150" s="2">
        <f t="shared" si="1"/>
        <v>280</v>
      </c>
      <c r="I150" s="2"/>
    </row>
    <row r="151" spans="1:9" ht="15.75" thickBot="1">
      <c r="A151" s="3">
        <v>1013</v>
      </c>
      <c r="B151" s="4" t="s">
        <v>40</v>
      </c>
      <c r="C151" s="4" t="s">
        <v>14</v>
      </c>
      <c r="D151" s="4" t="s">
        <v>15</v>
      </c>
      <c r="E151" s="3">
        <v>14</v>
      </c>
      <c r="F151" s="3">
        <v>50</v>
      </c>
      <c r="G151" s="3" t="s">
        <v>41</v>
      </c>
      <c r="H151" s="2">
        <f t="shared" si="1"/>
        <v>700</v>
      </c>
      <c r="I151" s="2"/>
    </row>
    <row r="152" spans="1:9" ht="15.75" thickBot="1">
      <c r="A152" s="3">
        <v>1014</v>
      </c>
      <c r="B152" s="4" t="s">
        <v>42</v>
      </c>
      <c r="C152" s="4" t="s">
        <v>17</v>
      </c>
      <c r="D152" s="4" t="s">
        <v>18</v>
      </c>
      <c r="E152" s="3">
        <v>28</v>
      </c>
      <c r="F152" s="3">
        <v>10</v>
      </c>
      <c r="G152" s="3" t="s">
        <v>43</v>
      </c>
      <c r="H152" s="2">
        <f t="shared" si="1"/>
        <v>280</v>
      </c>
      <c r="I152" s="2"/>
    </row>
    <row r="153" spans="1:9" ht="15.75" thickBot="1">
      <c r="A153" s="3">
        <v>1015</v>
      </c>
      <c r="B153" s="4" t="s">
        <v>44</v>
      </c>
      <c r="C153" s="4" t="s">
        <v>20</v>
      </c>
      <c r="D153" s="4" t="s">
        <v>21</v>
      </c>
      <c r="E153" s="3">
        <v>12</v>
      </c>
      <c r="F153" s="3">
        <v>25</v>
      </c>
      <c r="G153" s="3" t="s">
        <v>45</v>
      </c>
      <c r="H153" s="2">
        <f t="shared" si="1"/>
        <v>300</v>
      </c>
      <c r="I153" s="2"/>
    </row>
    <row r="154" spans="1:9" ht="15.75" thickBot="1">
      <c r="A154" s="3">
        <v>1016</v>
      </c>
      <c r="B154" s="4" t="s">
        <v>46</v>
      </c>
      <c r="C154" s="4" t="s">
        <v>23</v>
      </c>
      <c r="D154" s="4" t="s">
        <v>25</v>
      </c>
      <c r="E154" s="3">
        <v>25</v>
      </c>
      <c r="F154" s="3">
        <v>5</v>
      </c>
      <c r="G154" s="3" t="s">
        <v>47</v>
      </c>
      <c r="H154" s="2">
        <f t="shared" si="1"/>
        <v>125</v>
      </c>
      <c r="I154" s="2"/>
    </row>
    <row r="155" spans="1:9" ht="15.75" thickBot="1">
      <c r="A155" s="3">
        <v>1017</v>
      </c>
      <c r="B155" s="4" t="s">
        <v>48</v>
      </c>
      <c r="C155" s="4" t="s">
        <v>14</v>
      </c>
      <c r="D155" s="4" t="s">
        <v>28</v>
      </c>
      <c r="E155" s="3">
        <v>20</v>
      </c>
      <c r="F155" s="3">
        <v>8</v>
      </c>
      <c r="G155" s="3" t="s">
        <v>49</v>
      </c>
      <c r="H155" s="2">
        <f t="shared" si="1"/>
        <v>160</v>
      </c>
      <c r="I155" s="2"/>
    </row>
    <row r="156" spans="1:9" ht="15.75" thickBot="1">
      <c r="A156" s="3">
        <v>1018</v>
      </c>
      <c r="B156" s="4" t="s">
        <v>50</v>
      </c>
      <c r="C156" s="4" t="s">
        <v>17</v>
      </c>
      <c r="D156" s="4" t="s">
        <v>15</v>
      </c>
      <c r="E156" s="3">
        <v>10</v>
      </c>
      <c r="F156" s="3">
        <v>50</v>
      </c>
      <c r="G156" s="3" t="s">
        <v>51</v>
      </c>
      <c r="H156" s="2">
        <f t="shared" si="1"/>
        <v>500</v>
      </c>
      <c r="I156" s="2"/>
    </row>
    <row r="157" spans="1:9" ht="15.75" thickBot="1">
      <c r="A157" s="3">
        <v>1019</v>
      </c>
      <c r="B157" s="4" t="s">
        <v>52</v>
      </c>
      <c r="C157" s="4" t="s">
        <v>20</v>
      </c>
      <c r="D157" s="4" t="s">
        <v>18</v>
      </c>
      <c r="E157" s="3">
        <v>15</v>
      </c>
      <c r="F157" s="3">
        <v>10</v>
      </c>
      <c r="G157" s="3" t="s">
        <v>53</v>
      </c>
      <c r="H157" s="2">
        <f t="shared" si="1"/>
        <v>150</v>
      </c>
      <c r="I157" s="2"/>
    </row>
    <row r="158" spans="1:9" ht="15.75" thickBot="1">
      <c r="A158" s="3">
        <v>1020</v>
      </c>
      <c r="B158" s="4" t="s">
        <v>54</v>
      </c>
      <c r="C158" s="4" t="s">
        <v>23</v>
      </c>
      <c r="D158" s="4" t="s">
        <v>21</v>
      </c>
      <c r="E158" s="3">
        <v>18</v>
      </c>
      <c r="F158" s="3">
        <v>25</v>
      </c>
      <c r="G158" s="5">
        <v>45293</v>
      </c>
      <c r="H158" s="2">
        <f t="shared" si="1"/>
        <v>450</v>
      </c>
      <c r="I158" s="2"/>
    </row>
    <row r="159" spans="1:9" ht="15.75" thickBot="1">
      <c r="A159" s="3">
        <v>1021</v>
      </c>
      <c r="B159" s="4" t="s">
        <v>55</v>
      </c>
      <c r="C159" s="4" t="s">
        <v>14</v>
      </c>
      <c r="D159" s="4" t="s">
        <v>15</v>
      </c>
      <c r="E159" s="3">
        <v>9</v>
      </c>
      <c r="F159" s="3">
        <v>50</v>
      </c>
      <c r="G159" s="5">
        <v>45324</v>
      </c>
      <c r="H159" s="2">
        <f t="shared" si="1"/>
        <v>450</v>
      </c>
      <c r="I159" s="2"/>
    </row>
    <row r="160" spans="1:9" ht="15.75" thickBot="1">
      <c r="A160" s="3">
        <v>1022</v>
      </c>
      <c r="B160" s="4" t="s">
        <v>56</v>
      </c>
      <c r="C160" s="4" t="s">
        <v>17</v>
      </c>
      <c r="D160" s="4" t="s">
        <v>25</v>
      </c>
      <c r="E160" s="3">
        <v>35</v>
      </c>
      <c r="F160" s="3">
        <v>5</v>
      </c>
      <c r="G160" s="5">
        <v>45353</v>
      </c>
      <c r="H160" s="2">
        <f t="shared" si="1"/>
        <v>175</v>
      </c>
      <c r="I160" s="2"/>
    </row>
    <row r="161" spans="1:9" ht="15.75" thickBot="1">
      <c r="A161" s="3">
        <v>1023</v>
      </c>
      <c r="B161" s="4" t="s">
        <v>57</v>
      </c>
      <c r="C161" s="4" t="s">
        <v>20</v>
      </c>
      <c r="D161" s="4" t="s">
        <v>28</v>
      </c>
      <c r="E161" s="3">
        <v>30</v>
      </c>
      <c r="F161" s="3">
        <v>8</v>
      </c>
      <c r="G161" s="5">
        <v>45384</v>
      </c>
      <c r="H161" s="2">
        <f t="shared" si="1"/>
        <v>240</v>
      </c>
      <c r="I161" s="2"/>
    </row>
    <row r="162" spans="1:9" ht="15.75" thickBot="1">
      <c r="A162" s="3">
        <v>1024</v>
      </c>
      <c r="B162" s="4" t="s">
        <v>58</v>
      </c>
      <c r="C162" s="4" t="s">
        <v>23</v>
      </c>
      <c r="D162" s="4" t="s">
        <v>15</v>
      </c>
      <c r="E162" s="3">
        <v>11</v>
      </c>
      <c r="F162" s="3">
        <v>50</v>
      </c>
      <c r="G162" s="5">
        <v>45445</v>
      </c>
      <c r="H162" s="2">
        <f t="shared" si="1"/>
        <v>550</v>
      </c>
      <c r="I162" s="2"/>
    </row>
    <row r="163" spans="1:9" ht="15.75" thickBot="1">
      <c r="A163" s="3">
        <v>1025</v>
      </c>
      <c r="B163" s="4" t="s">
        <v>59</v>
      </c>
      <c r="C163" s="4" t="s">
        <v>14</v>
      </c>
      <c r="D163" s="4" t="s">
        <v>18</v>
      </c>
      <c r="E163" s="3">
        <v>14</v>
      </c>
      <c r="F163" s="3">
        <v>10</v>
      </c>
      <c r="G163" s="5">
        <v>45475</v>
      </c>
      <c r="H163" s="2">
        <f t="shared" si="1"/>
        <v>140</v>
      </c>
      <c r="I163" s="2"/>
    </row>
    <row r="164" spans="1:9" ht="15.75" thickBot="1">
      <c r="A164" s="3">
        <v>1026</v>
      </c>
      <c r="B164" s="4" t="s">
        <v>60</v>
      </c>
      <c r="C164" s="4" t="s">
        <v>17</v>
      </c>
      <c r="D164" s="4" t="s">
        <v>21</v>
      </c>
      <c r="E164" s="3">
        <v>16</v>
      </c>
      <c r="F164" s="3">
        <v>25</v>
      </c>
      <c r="G164" s="5">
        <v>45506</v>
      </c>
      <c r="H164" s="2">
        <f t="shared" si="1"/>
        <v>400</v>
      </c>
      <c r="I164" s="2"/>
    </row>
    <row r="165" spans="1:9" ht="15.75" thickBot="1">
      <c r="A165" s="3">
        <v>1027</v>
      </c>
      <c r="B165" s="4" t="s">
        <v>61</v>
      </c>
      <c r="C165" s="4" t="s">
        <v>20</v>
      </c>
      <c r="D165" s="4" t="s">
        <v>25</v>
      </c>
      <c r="E165" s="3">
        <v>22</v>
      </c>
      <c r="F165" s="3">
        <v>5</v>
      </c>
      <c r="G165" s="5">
        <v>45537</v>
      </c>
      <c r="H165" s="2">
        <f t="shared" si="1"/>
        <v>110</v>
      </c>
      <c r="I165" s="2"/>
    </row>
    <row r="166" spans="1:9" ht="15.75" thickBot="1">
      <c r="A166" s="3">
        <v>1028</v>
      </c>
      <c r="B166" s="4" t="s">
        <v>62</v>
      </c>
      <c r="C166" s="4" t="s">
        <v>23</v>
      </c>
      <c r="D166" s="4" t="s">
        <v>28</v>
      </c>
      <c r="E166" s="3">
        <v>27</v>
      </c>
      <c r="F166" s="3">
        <v>8</v>
      </c>
      <c r="G166" s="5">
        <v>45567</v>
      </c>
      <c r="H166" s="2">
        <f t="shared" si="1"/>
        <v>216</v>
      </c>
      <c r="I166" s="2"/>
    </row>
    <row r="167" spans="1:9" ht="15.75" thickBot="1">
      <c r="A167" s="3">
        <v>1029</v>
      </c>
      <c r="B167" s="4" t="s">
        <v>63</v>
      </c>
      <c r="C167" s="4" t="s">
        <v>14</v>
      </c>
      <c r="D167" s="4" t="s">
        <v>15</v>
      </c>
      <c r="E167" s="3">
        <v>13</v>
      </c>
      <c r="F167" s="3">
        <v>50</v>
      </c>
      <c r="G167" s="5">
        <v>45628</v>
      </c>
      <c r="H167" s="2">
        <f t="shared" si="1"/>
        <v>650</v>
      </c>
      <c r="I167" s="2"/>
    </row>
    <row r="168" spans="1:9" ht="15.75" thickBot="1">
      <c r="A168" s="3">
        <v>1030</v>
      </c>
      <c r="B168" s="4" t="s">
        <v>64</v>
      </c>
      <c r="C168" s="4" t="s">
        <v>17</v>
      </c>
      <c r="D168" s="4" t="s">
        <v>18</v>
      </c>
      <c r="E168" s="3">
        <v>32</v>
      </c>
      <c r="F168" s="3">
        <v>10</v>
      </c>
      <c r="G168" s="3" t="s">
        <v>65</v>
      </c>
      <c r="H168" s="2">
        <f t="shared" si="1"/>
        <v>320</v>
      </c>
      <c r="I168" s="2"/>
    </row>
    <row r="169" spans="1:9" ht="15.75" thickBot="1">
      <c r="A169" s="3">
        <v>1031</v>
      </c>
      <c r="B169" s="4" t="s">
        <v>66</v>
      </c>
      <c r="C169" s="4" t="s">
        <v>20</v>
      </c>
      <c r="D169" s="4" t="s">
        <v>21</v>
      </c>
      <c r="E169" s="3">
        <v>10</v>
      </c>
      <c r="F169" s="3">
        <v>25</v>
      </c>
      <c r="G169" s="3" t="s">
        <v>67</v>
      </c>
      <c r="H169" s="2">
        <f t="shared" si="1"/>
        <v>250</v>
      </c>
      <c r="I169" s="2"/>
    </row>
    <row r="170" spans="1:9" ht="15.75" thickBot="1">
      <c r="A170" s="3">
        <v>1032</v>
      </c>
      <c r="B170" s="4" t="s">
        <v>68</v>
      </c>
      <c r="C170" s="4" t="s">
        <v>23</v>
      </c>
      <c r="D170" s="4" t="s">
        <v>25</v>
      </c>
      <c r="E170" s="3">
        <v>18</v>
      </c>
      <c r="F170" s="3">
        <v>5</v>
      </c>
      <c r="G170" s="3" t="s">
        <v>69</v>
      </c>
      <c r="H170" s="2">
        <f t="shared" si="1"/>
        <v>90</v>
      </c>
      <c r="I170" s="2"/>
    </row>
    <row r="171" spans="1:9" ht="15.75" thickBot="1">
      <c r="A171" s="3">
        <v>1033</v>
      </c>
      <c r="B171" s="4" t="s">
        <v>70</v>
      </c>
      <c r="C171" s="4" t="s">
        <v>14</v>
      </c>
      <c r="D171" s="4" t="s">
        <v>28</v>
      </c>
      <c r="E171" s="3">
        <v>22</v>
      </c>
      <c r="F171" s="3">
        <v>8</v>
      </c>
      <c r="G171" s="3" t="s">
        <v>71</v>
      </c>
      <c r="H171" s="2">
        <f t="shared" si="1"/>
        <v>176</v>
      </c>
      <c r="I171" s="2"/>
    </row>
    <row r="172" spans="1:9" ht="15.75" thickBot="1">
      <c r="A172" s="3">
        <v>1034</v>
      </c>
      <c r="B172" s="4" t="s">
        <v>72</v>
      </c>
      <c r="C172" s="4" t="s">
        <v>17</v>
      </c>
      <c r="D172" s="4" t="s">
        <v>15</v>
      </c>
      <c r="E172" s="3">
        <v>17</v>
      </c>
      <c r="F172" s="3">
        <v>50</v>
      </c>
      <c r="G172" s="3" t="s">
        <v>73</v>
      </c>
      <c r="H172" s="2">
        <f t="shared" si="1"/>
        <v>850</v>
      </c>
      <c r="I172" s="2"/>
    </row>
    <row r="173" spans="1:9" ht="15.75" thickBot="1">
      <c r="A173" s="3">
        <v>1035</v>
      </c>
      <c r="B173" s="4" t="s">
        <v>74</v>
      </c>
      <c r="C173" s="4" t="s">
        <v>20</v>
      </c>
      <c r="D173" s="4" t="s">
        <v>18</v>
      </c>
      <c r="E173" s="3">
        <v>19</v>
      </c>
      <c r="F173" s="3">
        <v>10</v>
      </c>
      <c r="G173" s="3" t="s">
        <v>75</v>
      </c>
      <c r="H173" s="2">
        <f t="shared" si="1"/>
        <v>190</v>
      </c>
      <c r="I173" s="2"/>
    </row>
    <row r="174" spans="1:9" ht="15.75" thickBot="1">
      <c r="A174" s="3">
        <v>1036</v>
      </c>
      <c r="B174" s="4" t="s">
        <v>76</v>
      </c>
      <c r="C174" s="4" t="s">
        <v>23</v>
      </c>
      <c r="D174" s="4" t="s">
        <v>21</v>
      </c>
      <c r="E174" s="3">
        <v>15</v>
      </c>
      <c r="F174" s="3">
        <v>25</v>
      </c>
      <c r="G174" s="3" t="s">
        <v>77</v>
      </c>
      <c r="H174" s="2">
        <f t="shared" si="1"/>
        <v>375</v>
      </c>
      <c r="I174" s="2"/>
    </row>
    <row r="175" spans="1:9" ht="15.75" thickBot="1">
      <c r="A175" s="3">
        <v>1037</v>
      </c>
      <c r="B175" s="4" t="s">
        <v>78</v>
      </c>
      <c r="C175" s="4" t="s">
        <v>14</v>
      </c>
      <c r="D175" s="4" t="s">
        <v>25</v>
      </c>
      <c r="E175" s="3">
        <v>28</v>
      </c>
      <c r="F175" s="3">
        <v>5</v>
      </c>
      <c r="G175" s="3" t="s">
        <v>79</v>
      </c>
      <c r="H175" s="2">
        <f t="shared" si="1"/>
        <v>140</v>
      </c>
      <c r="I175" s="2"/>
    </row>
    <row r="176" spans="1:9" ht="15.75" thickBot="1">
      <c r="A176" s="3">
        <v>1038</v>
      </c>
      <c r="B176" s="4" t="s">
        <v>80</v>
      </c>
      <c r="C176" s="4" t="s">
        <v>17</v>
      </c>
      <c r="D176" s="4" t="s">
        <v>28</v>
      </c>
      <c r="E176" s="3">
        <v>24</v>
      </c>
      <c r="F176" s="3">
        <v>8</v>
      </c>
      <c r="G176" s="3" t="s">
        <v>81</v>
      </c>
      <c r="H176" s="2">
        <f t="shared" si="1"/>
        <v>192</v>
      </c>
      <c r="I176" s="2"/>
    </row>
    <row r="177" spans="1:9" ht="15.75" thickBot="1">
      <c r="A177" s="3">
        <v>1039</v>
      </c>
      <c r="B177" s="4" t="s">
        <v>82</v>
      </c>
      <c r="C177" s="4" t="s">
        <v>20</v>
      </c>
      <c r="D177" s="4" t="s">
        <v>15</v>
      </c>
      <c r="E177" s="3">
        <v>16</v>
      </c>
      <c r="F177" s="3">
        <v>50</v>
      </c>
      <c r="G177" s="3" t="s">
        <v>83</v>
      </c>
      <c r="H177" s="2">
        <f t="shared" si="1"/>
        <v>800</v>
      </c>
      <c r="I177" s="2"/>
    </row>
    <row r="178" spans="1:9" ht="15.75" thickBot="1">
      <c r="A178" s="3">
        <v>1040</v>
      </c>
      <c r="B178" s="4" t="s">
        <v>84</v>
      </c>
      <c r="C178" s="4" t="s">
        <v>23</v>
      </c>
      <c r="D178" s="4" t="s">
        <v>18</v>
      </c>
      <c r="E178" s="3">
        <v>27</v>
      </c>
      <c r="F178" s="3">
        <v>10</v>
      </c>
      <c r="G178" s="3" t="s">
        <v>85</v>
      </c>
      <c r="H178" s="2">
        <f t="shared" si="1"/>
        <v>270</v>
      </c>
      <c r="I178" s="2"/>
    </row>
    <row r="179" spans="1:9" ht="15.75" thickBot="1">
      <c r="A179" s="3">
        <v>1041</v>
      </c>
      <c r="B179" s="4" t="s">
        <v>86</v>
      </c>
      <c r="C179" s="4" t="s">
        <v>14</v>
      </c>
      <c r="D179" s="4" t="s">
        <v>21</v>
      </c>
      <c r="E179" s="3">
        <v>21</v>
      </c>
      <c r="F179" s="3">
        <v>25</v>
      </c>
      <c r="G179" s="3" t="s">
        <v>87</v>
      </c>
      <c r="H179" s="2">
        <f t="shared" si="1"/>
        <v>525</v>
      </c>
      <c r="I179" s="2"/>
    </row>
    <row r="180" spans="1:9" ht="15.75" thickBot="1">
      <c r="A180" s="3">
        <v>1042</v>
      </c>
      <c r="B180" s="4" t="s">
        <v>88</v>
      </c>
      <c r="C180" s="4" t="s">
        <v>17</v>
      </c>
      <c r="D180" s="4" t="s">
        <v>25</v>
      </c>
      <c r="E180" s="3">
        <v>30</v>
      </c>
      <c r="F180" s="3">
        <v>5</v>
      </c>
      <c r="G180" s="3" t="s">
        <v>89</v>
      </c>
      <c r="H180" s="2">
        <f t="shared" si="1"/>
        <v>150</v>
      </c>
      <c r="I180" s="2"/>
    </row>
    <row r="181" spans="1:9" ht="15.75" thickBot="1">
      <c r="A181" s="3">
        <v>1043</v>
      </c>
      <c r="B181" s="4" t="s">
        <v>90</v>
      </c>
      <c r="C181" s="4" t="s">
        <v>20</v>
      </c>
      <c r="D181" s="4" t="s">
        <v>28</v>
      </c>
      <c r="E181" s="3">
        <v>26</v>
      </c>
      <c r="F181" s="3">
        <v>8</v>
      </c>
      <c r="G181" s="5">
        <v>45294</v>
      </c>
      <c r="H181" s="2">
        <f t="shared" si="1"/>
        <v>208</v>
      </c>
      <c r="I181" s="2"/>
    </row>
    <row r="182" spans="1:9" ht="15.75" thickBot="1">
      <c r="A182" s="3">
        <v>1044</v>
      </c>
      <c r="B182" s="4" t="s">
        <v>91</v>
      </c>
      <c r="C182" s="4" t="s">
        <v>23</v>
      </c>
      <c r="D182" s="4" t="s">
        <v>15</v>
      </c>
      <c r="E182" s="3">
        <v>14</v>
      </c>
      <c r="F182" s="3">
        <v>50</v>
      </c>
      <c r="G182" s="5">
        <v>45325</v>
      </c>
      <c r="H182" s="2">
        <f t="shared" si="1"/>
        <v>700</v>
      </c>
      <c r="I182" s="2"/>
    </row>
    <row r="183" spans="1:9" ht="15.75" thickBot="1">
      <c r="A183" s="3">
        <v>1045</v>
      </c>
      <c r="B183" s="4" t="s">
        <v>92</v>
      </c>
      <c r="C183" s="4" t="s">
        <v>14</v>
      </c>
      <c r="D183" s="4" t="s">
        <v>18</v>
      </c>
      <c r="E183" s="3">
        <v>20</v>
      </c>
      <c r="F183" s="3">
        <v>10</v>
      </c>
      <c r="G183" s="5">
        <v>45354</v>
      </c>
      <c r="H183" s="2">
        <f t="shared" si="1"/>
        <v>200</v>
      </c>
      <c r="I183" s="2"/>
    </row>
    <row r="184" spans="1:9" ht="15.75" thickBot="1">
      <c r="A184" s="3">
        <v>1046</v>
      </c>
      <c r="B184" s="4" t="s">
        <v>93</v>
      </c>
      <c r="C184" s="4" t="s">
        <v>17</v>
      </c>
      <c r="D184" s="4" t="s">
        <v>21</v>
      </c>
      <c r="E184" s="3">
        <v>17</v>
      </c>
      <c r="F184" s="3">
        <v>25</v>
      </c>
      <c r="G184" s="5">
        <v>45385</v>
      </c>
      <c r="H184" s="2">
        <f t="shared" si="1"/>
        <v>425</v>
      </c>
      <c r="I184" s="2"/>
    </row>
    <row r="185" spans="1:9" ht="15.75" thickBot="1">
      <c r="A185" s="3">
        <v>1047</v>
      </c>
      <c r="B185" s="4" t="s">
        <v>94</v>
      </c>
      <c r="C185" s="4" t="s">
        <v>20</v>
      </c>
      <c r="D185" s="4" t="s">
        <v>25</v>
      </c>
      <c r="E185" s="3">
        <v>19</v>
      </c>
      <c r="F185" s="3">
        <v>5</v>
      </c>
      <c r="G185" s="5">
        <v>45415</v>
      </c>
      <c r="H185" s="2">
        <f t="shared" si="1"/>
        <v>95</v>
      </c>
      <c r="I185" s="2"/>
    </row>
    <row r="186" spans="1:9" ht="15.75" thickBot="1">
      <c r="A186" s="3">
        <v>1048</v>
      </c>
      <c r="B186" s="4" t="s">
        <v>95</v>
      </c>
      <c r="C186" s="4" t="s">
        <v>23</v>
      </c>
      <c r="D186" s="4" t="s">
        <v>28</v>
      </c>
      <c r="E186" s="3">
        <v>32</v>
      </c>
      <c r="F186" s="3">
        <v>8</v>
      </c>
      <c r="G186" s="5">
        <v>45446</v>
      </c>
      <c r="H186" s="2">
        <f t="shared" si="1"/>
        <v>256</v>
      </c>
      <c r="I186" s="2"/>
    </row>
    <row r="187" spans="1:9" ht="15.75" thickBot="1">
      <c r="A187" s="3">
        <v>1049</v>
      </c>
      <c r="B187" s="4" t="s">
        <v>96</v>
      </c>
      <c r="C187" s="4" t="s">
        <v>14</v>
      </c>
      <c r="D187" s="4" t="s">
        <v>15</v>
      </c>
      <c r="E187" s="3">
        <v>12</v>
      </c>
      <c r="F187" s="3">
        <v>50</v>
      </c>
      <c r="G187" s="5">
        <v>45476</v>
      </c>
      <c r="H187" s="2">
        <f t="shared" si="1"/>
        <v>600</v>
      </c>
      <c r="I187" s="2"/>
    </row>
    <row r="188" spans="1:9" ht="15.75" thickBot="1">
      <c r="A188" s="3">
        <v>1050</v>
      </c>
      <c r="B188" s="4" t="s">
        <v>97</v>
      </c>
      <c r="C188" s="4" t="s">
        <v>17</v>
      </c>
      <c r="D188" s="4" t="s">
        <v>18</v>
      </c>
      <c r="E188" s="3">
        <v>25</v>
      </c>
      <c r="F188" s="3">
        <v>10</v>
      </c>
      <c r="G188" s="5">
        <v>45507</v>
      </c>
      <c r="H188" s="2">
        <f t="shared" si="1"/>
        <v>250</v>
      </c>
      <c r="I188" s="2"/>
    </row>
    <row r="190" spans="1:9">
      <c r="A190" t="s">
        <v>117</v>
      </c>
    </row>
    <row r="191" spans="1:9">
      <c r="A191" s="11" t="s">
        <v>118</v>
      </c>
      <c r="B191" s="11" t="s">
        <v>119</v>
      </c>
    </row>
    <row r="192" spans="1:9">
      <c r="A192" t="s">
        <v>28</v>
      </c>
      <c r="B192">
        <v>1928</v>
      </c>
    </row>
    <row r="193" spans="1:8">
      <c r="A193" t="s">
        <v>21</v>
      </c>
      <c r="B193">
        <v>3650</v>
      </c>
    </row>
    <row r="194" spans="1:8">
      <c r="A194" t="s">
        <v>15</v>
      </c>
      <c r="B194">
        <v>7550</v>
      </c>
    </row>
    <row r="195" spans="1:8">
      <c r="A195" t="s">
        <v>18</v>
      </c>
      <c r="B195">
        <v>2180</v>
      </c>
    </row>
    <row r="196" spans="1:8">
      <c r="A196" t="s">
        <v>25</v>
      </c>
      <c r="B196">
        <v>1235</v>
      </c>
    </row>
    <row r="204" spans="1:8">
      <c r="A204" t="s">
        <v>116</v>
      </c>
    </row>
    <row r="205" spans="1:8" ht="15.75" thickBot="1"/>
    <row r="206" spans="1:8" ht="15.75" thickBot="1">
      <c r="A206" s="1" t="s">
        <v>6</v>
      </c>
      <c r="B206" s="1" t="s">
        <v>7</v>
      </c>
      <c r="C206" s="1" t="s">
        <v>8</v>
      </c>
      <c r="D206" s="1" t="s">
        <v>9</v>
      </c>
      <c r="E206" s="1" t="s">
        <v>10</v>
      </c>
      <c r="F206" s="1" t="s">
        <v>11</v>
      </c>
      <c r="G206" s="1" t="s">
        <v>12</v>
      </c>
      <c r="H206" s="2" t="s">
        <v>98</v>
      </c>
    </row>
    <row r="207" spans="1:8" ht="15.75" thickBot="1">
      <c r="A207" s="3">
        <v>1001</v>
      </c>
      <c r="B207" s="4" t="s">
        <v>13</v>
      </c>
      <c r="C207" s="4" t="s">
        <v>14</v>
      </c>
      <c r="D207" s="4" t="s">
        <v>15</v>
      </c>
      <c r="E207" s="3">
        <v>10</v>
      </c>
      <c r="F207" s="3">
        <v>50</v>
      </c>
      <c r="G207" s="5">
        <v>45413</v>
      </c>
      <c r="H207" s="2">
        <f>SUMPRODUCT(E207*F207)</f>
        <v>500</v>
      </c>
    </row>
    <row r="208" spans="1:8" ht="15.75" thickBot="1">
      <c r="A208" s="3">
        <v>1002</v>
      </c>
      <c r="B208" s="4" t="s">
        <v>16</v>
      </c>
      <c r="C208" s="4" t="s">
        <v>17</v>
      </c>
      <c r="D208" s="4" t="s">
        <v>18</v>
      </c>
      <c r="E208" s="3">
        <v>20</v>
      </c>
      <c r="F208" s="3">
        <v>10</v>
      </c>
      <c r="G208" s="5">
        <v>45444</v>
      </c>
      <c r="H208" s="2">
        <f t="shared" ref="H208:H256" si="2">SUMPRODUCT(E208*F208)</f>
        <v>200</v>
      </c>
    </row>
    <row r="209" spans="1:8" ht="15.75" thickBot="1">
      <c r="A209" s="3">
        <v>1003</v>
      </c>
      <c r="B209" s="4" t="s">
        <v>19</v>
      </c>
      <c r="C209" s="4" t="s">
        <v>20</v>
      </c>
      <c r="D209" s="4" t="s">
        <v>21</v>
      </c>
      <c r="E209" s="3">
        <v>15</v>
      </c>
      <c r="F209" s="3">
        <v>25</v>
      </c>
      <c r="G209" s="5">
        <v>45474</v>
      </c>
      <c r="H209" s="2">
        <f t="shared" si="2"/>
        <v>375</v>
      </c>
    </row>
    <row r="210" spans="1:8" ht="15.75" thickBot="1">
      <c r="A210" s="3">
        <v>1004</v>
      </c>
      <c r="B210" s="4" t="s">
        <v>22</v>
      </c>
      <c r="C210" s="4" t="s">
        <v>23</v>
      </c>
      <c r="D210" s="4" t="s">
        <v>15</v>
      </c>
      <c r="E210" s="3">
        <v>5</v>
      </c>
      <c r="F210" s="3">
        <v>50</v>
      </c>
      <c r="G210" s="5">
        <v>45505</v>
      </c>
      <c r="H210" s="2">
        <f t="shared" si="2"/>
        <v>250</v>
      </c>
    </row>
    <row r="211" spans="1:8" ht="15.75" thickBot="1">
      <c r="A211" s="3">
        <v>1005</v>
      </c>
      <c r="B211" s="4" t="s">
        <v>24</v>
      </c>
      <c r="C211" s="4" t="s">
        <v>14</v>
      </c>
      <c r="D211" s="4" t="s">
        <v>25</v>
      </c>
      <c r="E211" s="3">
        <v>30</v>
      </c>
      <c r="F211" s="3">
        <v>5</v>
      </c>
      <c r="G211" s="5">
        <v>45566</v>
      </c>
      <c r="H211" s="2">
        <f t="shared" si="2"/>
        <v>150</v>
      </c>
    </row>
    <row r="212" spans="1:8" ht="15.75" thickBot="1">
      <c r="A212" s="3">
        <v>1006</v>
      </c>
      <c r="B212" s="4" t="s">
        <v>26</v>
      </c>
      <c r="C212" s="4" t="s">
        <v>17</v>
      </c>
      <c r="D212" s="4" t="s">
        <v>15</v>
      </c>
      <c r="E212" s="3">
        <v>12</v>
      </c>
      <c r="F212" s="3">
        <v>50</v>
      </c>
      <c r="G212" s="5">
        <v>45597</v>
      </c>
      <c r="H212" s="2">
        <f t="shared" si="2"/>
        <v>600</v>
      </c>
    </row>
    <row r="213" spans="1:8" ht="15.75" thickBot="1">
      <c r="A213" s="3">
        <v>1007</v>
      </c>
      <c r="B213" s="4" t="s">
        <v>27</v>
      </c>
      <c r="C213" s="4" t="s">
        <v>20</v>
      </c>
      <c r="D213" s="4" t="s">
        <v>28</v>
      </c>
      <c r="E213" s="3">
        <v>25</v>
      </c>
      <c r="F213" s="3">
        <v>8</v>
      </c>
      <c r="G213" s="3" t="s">
        <v>29</v>
      </c>
      <c r="H213" s="2">
        <f t="shared" si="2"/>
        <v>200</v>
      </c>
    </row>
    <row r="214" spans="1:8" ht="15.75" thickBot="1">
      <c r="A214" s="3">
        <v>1008</v>
      </c>
      <c r="B214" s="4" t="s">
        <v>30</v>
      </c>
      <c r="C214" s="4" t="s">
        <v>23</v>
      </c>
      <c r="D214" s="4" t="s">
        <v>18</v>
      </c>
      <c r="E214" s="3">
        <v>18</v>
      </c>
      <c r="F214" s="3">
        <v>10</v>
      </c>
      <c r="G214" s="3" t="s">
        <v>31</v>
      </c>
      <c r="H214" s="2">
        <f t="shared" si="2"/>
        <v>180</v>
      </c>
    </row>
    <row r="215" spans="1:8" ht="15.75" thickBot="1">
      <c r="A215" s="3">
        <v>1009</v>
      </c>
      <c r="B215" s="4" t="s">
        <v>32</v>
      </c>
      <c r="C215" s="4" t="s">
        <v>14</v>
      </c>
      <c r="D215" s="4" t="s">
        <v>21</v>
      </c>
      <c r="E215" s="3">
        <v>22</v>
      </c>
      <c r="F215" s="3">
        <v>25</v>
      </c>
      <c r="G215" s="3" t="s">
        <v>33</v>
      </c>
      <c r="H215" s="2">
        <f t="shared" si="2"/>
        <v>550</v>
      </c>
    </row>
    <row r="216" spans="1:8" ht="15.75" thickBot="1">
      <c r="A216" s="3">
        <v>1010</v>
      </c>
      <c r="B216" s="4" t="s">
        <v>34</v>
      </c>
      <c r="C216" s="4" t="s">
        <v>17</v>
      </c>
      <c r="D216" s="4" t="s">
        <v>15</v>
      </c>
      <c r="E216" s="3">
        <v>8</v>
      </c>
      <c r="F216" s="3">
        <v>50</v>
      </c>
      <c r="G216" s="3" t="s">
        <v>35</v>
      </c>
      <c r="H216" s="2">
        <f t="shared" si="2"/>
        <v>400</v>
      </c>
    </row>
    <row r="217" spans="1:8" ht="15.75" thickBot="1">
      <c r="A217" s="3">
        <v>1011</v>
      </c>
      <c r="B217" s="4" t="s">
        <v>36</v>
      </c>
      <c r="C217" s="4" t="s">
        <v>20</v>
      </c>
      <c r="D217" s="4" t="s">
        <v>25</v>
      </c>
      <c r="E217" s="3">
        <v>40</v>
      </c>
      <c r="F217" s="3">
        <v>5</v>
      </c>
      <c r="G217" s="3" t="s">
        <v>37</v>
      </c>
      <c r="H217" s="2">
        <f t="shared" si="2"/>
        <v>200</v>
      </c>
    </row>
    <row r="218" spans="1:8" ht="15.75" thickBot="1">
      <c r="A218" s="3">
        <v>1012</v>
      </c>
      <c r="B218" s="4" t="s">
        <v>38</v>
      </c>
      <c r="C218" s="4" t="s">
        <v>23</v>
      </c>
      <c r="D218" s="4" t="s">
        <v>28</v>
      </c>
      <c r="E218" s="3">
        <v>35</v>
      </c>
      <c r="F218" s="3">
        <v>8</v>
      </c>
      <c r="G218" s="3" t="s">
        <v>39</v>
      </c>
      <c r="H218" s="2">
        <f t="shared" si="2"/>
        <v>280</v>
      </c>
    </row>
    <row r="219" spans="1:8" ht="15.75" thickBot="1">
      <c r="A219" s="3">
        <v>1013</v>
      </c>
      <c r="B219" s="4" t="s">
        <v>40</v>
      </c>
      <c r="C219" s="4" t="s">
        <v>14</v>
      </c>
      <c r="D219" s="4" t="s">
        <v>15</v>
      </c>
      <c r="E219" s="3">
        <v>14</v>
      </c>
      <c r="F219" s="3">
        <v>50</v>
      </c>
      <c r="G219" s="3" t="s">
        <v>41</v>
      </c>
      <c r="H219" s="2">
        <f t="shared" si="2"/>
        <v>700</v>
      </c>
    </row>
    <row r="220" spans="1:8" ht="15.75" thickBot="1">
      <c r="A220" s="3">
        <v>1014</v>
      </c>
      <c r="B220" s="4" t="s">
        <v>42</v>
      </c>
      <c r="C220" s="4" t="s">
        <v>17</v>
      </c>
      <c r="D220" s="4" t="s">
        <v>18</v>
      </c>
      <c r="E220" s="3">
        <v>28</v>
      </c>
      <c r="F220" s="3">
        <v>10</v>
      </c>
      <c r="G220" s="3" t="s">
        <v>43</v>
      </c>
      <c r="H220" s="2">
        <f t="shared" si="2"/>
        <v>280</v>
      </c>
    </row>
    <row r="221" spans="1:8" ht="15.75" thickBot="1">
      <c r="A221" s="3">
        <v>1015</v>
      </c>
      <c r="B221" s="4" t="s">
        <v>44</v>
      </c>
      <c r="C221" s="4" t="s">
        <v>20</v>
      </c>
      <c r="D221" s="4" t="s">
        <v>21</v>
      </c>
      <c r="E221" s="3">
        <v>12</v>
      </c>
      <c r="F221" s="3">
        <v>25</v>
      </c>
      <c r="G221" s="3" t="s">
        <v>45</v>
      </c>
      <c r="H221" s="2">
        <f t="shared" si="2"/>
        <v>300</v>
      </c>
    </row>
    <row r="222" spans="1:8" ht="15.75" thickBot="1">
      <c r="A222" s="3">
        <v>1016</v>
      </c>
      <c r="B222" s="4" t="s">
        <v>46</v>
      </c>
      <c r="C222" s="4" t="s">
        <v>23</v>
      </c>
      <c r="D222" s="4" t="s">
        <v>25</v>
      </c>
      <c r="E222" s="3">
        <v>25</v>
      </c>
      <c r="F222" s="3">
        <v>5</v>
      </c>
      <c r="G222" s="3" t="s">
        <v>47</v>
      </c>
      <c r="H222" s="2">
        <f t="shared" si="2"/>
        <v>125</v>
      </c>
    </row>
    <row r="223" spans="1:8" ht="15.75" thickBot="1">
      <c r="A223" s="3">
        <v>1017</v>
      </c>
      <c r="B223" s="4" t="s">
        <v>48</v>
      </c>
      <c r="C223" s="4" t="s">
        <v>14</v>
      </c>
      <c r="D223" s="4" t="s">
        <v>28</v>
      </c>
      <c r="E223" s="3">
        <v>20</v>
      </c>
      <c r="F223" s="3">
        <v>8</v>
      </c>
      <c r="G223" s="3" t="s">
        <v>49</v>
      </c>
      <c r="H223" s="2">
        <f t="shared" si="2"/>
        <v>160</v>
      </c>
    </row>
    <row r="224" spans="1:8" ht="15.75" thickBot="1">
      <c r="A224" s="3">
        <v>1018</v>
      </c>
      <c r="B224" s="4" t="s">
        <v>50</v>
      </c>
      <c r="C224" s="4" t="s">
        <v>17</v>
      </c>
      <c r="D224" s="4" t="s">
        <v>15</v>
      </c>
      <c r="E224" s="3">
        <v>10</v>
      </c>
      <c r="F224" s="3">
        <v>50</v>
      </c>
      <c r="G224" s="3" t="s">
        <v>51</v>
      </c>
      <c r="H224" s="2">
        <f t="shared" si="2"/>
        <v>500</v>
      </c>
    </row>
    <row r="225" spans="1:8" ht="15.75" thickBot="1">
      <c r="A225" s="3">
        <v>1019</v>
      </c>
      <c r="B225" s="4" t="s">
        <v>52</v>
      </c>
      <c r="C225" s="4" t="s">
        <v>20</v>
      </c>
      <c r="D225" s="4" t="s">
        <v>18</v>
      </c>
      <c r="E225" s="3">
        <v>15</v>
      </c>
      <c r="F225" s="3">
        <v>10</v>
      </c>
      <c r="G225" s="3" t="s">
        <v>53</v>
      </c>
      <c r="H225" s="2">
        <f t="shared" si="2"/>
        <v>150</v>
      </c>
    </row>
    <row r="226" spans="1:8" ht="15.75" thickBot="1">
      <c r="A226" s="3">
        <v>1020</v>
      </c>
      <c r="B226" s="4" t="s">
        <v>54</v>
      </c>
      <c r="C226" s="4" t="s">
        <v>23</v>
      </c>
      <c r="D226" s="4" t="s">
        <v>21</v>
      </c>
      <c r="E226" s="3">
        <v>18</v>
      </c>
      <c r="F226" s="3">
        <v>25</v>
      </c>
      <c r="G226" s="5">
        <v>45293</v>
      </c>
      <c r="H226" s="2">
        <f t="shared" si="2"/>
        <v>450</v>
      </c>
    </row>
    <row r="227" spans="1:8" ht="15.75" thickBot="1">
      <c r="A227" s="3">
        <v>1021</v>
      </c>
      <c r="B227" s="4" t="s">
        <v>55</v>
      </c>
      <c r="C227" s="4" t="s">
        <v>14</v>
      </c>
      <c r="D227" s="4" t="s">
        <v>15</v>
      </c>
      <c r="E227" s="3">
        <v>9</v>
      </c>
      <c r="F227" s="3">
        <v>50</v>
      </c>
      <c r="G227" s="5">
        <v>45324</v>
      </c>
      <c r="H227" s="2">
        <f t="shared" si="2"/>
        <v>450</v>
      </c>
    </row>
    <row r="228" spans="1:8" ht="15.75" thickBot="1">
      <c r="A228" s="3">
        <v>1022</v>
      </c>
      <c r="B228" s="4" t="s">
        <v>56</v>
      </c>
      <c r="C228" s="4" t="s">
        <v>17</v>
      </c>
      <c r="D228" s="4" t="s">
        <v>25</v>
      </c>
      <c r="E228" s="3">
        <v>35</v>
      </c>
      <c r="F228" s="3">
        <v>5</v>
      </c>
      <c r="G228" s="5">
        <v>45353</v>
      </c>
      <c r="H228" s="2">
        <f t="shared" si="2"/>
        <v>175</v>
      </c>
    </row>
    <row r="229" spans="1:8" ht="15.75" thickBot="1">
      <c r="A229" s="3">
        <v>1023</v>
      </c>
      <c r="B229" s="4" t="s">
        <v>57</v>
      </c>
      <c r="C229" s="4" t="s">
        <v>20</v>
      </c>
      <c r="D229" s="4" t="s">
        <v>28</v>
      </c>
      <c r="E229" s="3">
        <v>30</v>
      </c>
      <c r="F229" s="3">
        <v>8</v>
      </c>
      <c r="G229" s="5">
        <v>45384</v>
      </c>
      <c r="H229" s="2">
        <f t="shared" si="2"/>
        <v>240</v>
      </c>
    </row>
    <row r="230" spans="1:8" ht="15.75" thickBot="1">
      <c r="A230" s="3">
        <v>1024</v>
      </c>
      <c r="B230" s="4" t="s">
        <v>58</v>
      </c>
      <c r="C230" s="4" t="s">
        <v>23</v>
      </c>
      <c r="D230" s="4" t="s">
        <v>15</v>
      </c>
      <c r="E230" s="3">
        <v>11</v>
      </c>
      <c r="F230" s="3">
        <v>50</v>
      </c>
      <c r="G230" s="5">
        <v>45445</v>
      </c>
      <c r="H230" s="2">
        <f t="shared" si="2"/>
        <v>550</v>
      </c>
    </row>
    <row r="231" spans="1:8" ht="15.75" thickBot="1">
      <c r="A231" s="3">
        <v>1025</v>
      </c>
      <c r="B231" s="4" t="s">
        <v>59</v>
      </c>
      <c r="C231" s="4" t="s">
        <v>14</v>
      </c>
      <c r="D231" s="4" t="s">
        <v>18</v>
      </c>
      <c r="E231" s="3">
        <v>14</v>
      </c>
      <c r="F231" s="3">
        <v>10</v>
      </c>
      <c r="G231" s="5">
        <v>45475</v>
      </c>
      <c r="H231" s="2">
        <f t="shared" si="2"/>
        <v>140</v>
      </c>
    </row>
    <row r="232" spans="1:8" ht="15.75" thickBot="1">
      <c r="A232" s="3">
        <v>1026</v>
      </c>
      <c r="B232" s="4" t="s">
        <v>60</v>
      </c>
      <c r="C232" s="4" t="s">
        <v>17</v>
      </c>
      <c r="D232" s="4" t="s">
        <v>21</v>
      </c>
      <c r="E232" s="3">
        <v>16</v>
      </c>
      <c r="F232" s="3">
        <v>25</v>
      </c>
      <c r="G232" s="5">
        <v>45506</v>
      </c>
      <c r="H232" s="2">
        <f t="shared" si="2"/>
        <v>400</v>
      </c>
    </row>
    <row r="233" spans="1:8" ht="15.75" thickBot="1">
      <c r="A233" s="3">
        <v>1027</v>
      </c>
      <c r="B233" s="4" t="s">
        <v>61</v>
      </c>
      <c r="C233" s="4" t="s">
        <v>20</v>
      </c>
      <c r="D233" s="4" t="s">
        <v>25</v>
      </c>
      <c r="E233" s="3">
        <v>22</v>
      </c>
      <c r="F233" s="3">
        <v>5</v>
      </c>
      <c r="G233" s="5">
        <v>45537</v>
      </c>
      <c r="H233" s="2">
        <f t="shared" si="2"/>
        <v>110</v>
      </c>
    </row>
    <row r="234" spans="1:8" ht="15.75" thickBot="1">
      <c r="A234" s="3">
        <v>1028</v>
      </c>
      <c r="B234" s="4" t="s">
        <v>62</v>
      </c>
      <c r="C234" s="4" t="s">
        <v>23</v>
      </c>
      <c r="D234" s="4" t="s">
        <v>28</v>
      </c>
      <c r="E234" s="3">
        <v>27</v>
      </c>
      <c r="F234" s="3">
        <v>8</v>
      </c>
      <c r="G234" s="5">
        <v>45567</v>
      </c>
      <c r="H234" s="2">
        <f t="shared" si="2"/>
        <v>216</v>
      </c>
    </row>
    <row r="235" spans="1:8" ht="15.75" thickBot="1">
      <c r="A235" s="3">
        <v>1029</v>
      </c>
      <c r="B235" s="4" t="s">
        <v>63</v>
      </c>
      <c r="C235" s="4" t="s">
        <v>14</v>
      </c>
      <c r="D235" s="4" t="s">
        <v>15</v>
      </c>
      <c r="E235" s="3">
        <v>13</v>
      </c>
      <c r="F235" s="3">
        <v>50</v>
      </c>
      <c r="G235" s="5">
        <v>45628</v>
      </c>
      <c r="H235" s="2">
        <f t="shared" si="2"/>
        <v>650</v>
      </c>
    </row>
    <row r="236" spans="1:8" ht="15.75" thickBot="1">
      <c r="A236" s="3">
        <v>1030</v>
      </c>
      <c r="B236" s="4" t="s">
        <v>64</v>
      </c>
      <c r="C236" s="4" t="s">
        <v>17</v>
      </c>
      <c r="D236" s="4" t="s">
        <v>18</v>
      </c>
      <c r="E236" s="3">
        <v>32</v>
      </c>
      <c r="F236" s="3">
        <v>10</v>
      </c>
      <c r="G236" s="3" t="s">
        <v>65</v>
      </c>
      <c r="H236" s="2">
        <f t="shared" si="2"/>
        <v>320</v>
      </c>
    </row>
    <row r="237" spans="1:8" ht="15.75" thickBot="1">
      <c r="A237" s="3">
        <v>1031</v>
      </c>
      <c r="B237" s="4" t="s">
        <v>66</v>
      </c>
      <c r="C237" s="4" t="s">
        <v>20</v>
      </c>
      <c r="D237" s="4" t="s">
        <v>21</v>
      </c>
      <c r="E237" s="3">
        <v>10</v>
      </c>
      <c r="F237" s="3">
        <v>25</v>
      </c>
      <c r="G237" s="3" t="s">
        <v>67</v>
      </c>
      <c r="H237" s="2">
        <f t="shared" si="2"/>
        <v>250</v>
      </c>
    </row>
    <row r="238" spans="1:8" ht="15.75" thickBot="1">
      <c r="A238" s="3">
        <v>1032</v>
      </c>
      <c r="B238" s="4" t="s">
        <v>68</v>
      </c>
      <c r="C238" s="4" t="s">
        <v>23</v>
      </c>
      <c r="D238" s="4" t="s">
        <v>25</v>
      </c>
      <c r="E238" s="3">
        <v>18</v>
      </c>
      <c r="F238" s="3">
        <v>5</v>
      </c>
      <c r="G238" s="3" t="s">
        <v>69</v>
      </c>
      <c r="H238" s="2">
        <f t="shared" si="2"/>
        <v>90</v>
      </c>
    </row>
    <row r="239" spans="1:8" ht="15.75" thickBot="1">
      <c r="A239" s="3">
        <v>1033</v>
      </c>
      <c r="B239" s="4" t="s">
        <v>70</v>
      </c>
      <c r="C239" s="4" t="s">
        <v>14</v>
      </c>
      <c r="D239" s="4" t="s">
        <v>28</v>
      </c>
      <c r="E239" s="3">
        <v>22</v>
      </c>
      <c r="F239" s="3">
        <v>8</v>
      </c>
      <c r="G239" s="3" t="s">
        <v>71</v>
      </c>
      <c r="H239" s="2">
        <f t="shared" si="2"/>
        <v>176</v>
      </c>
    </row>
    <row r="240" spans="1:8" ht="15.75" thickBot="1">
      <c r="A240" s="3">
        <v>1034</v>
      </c>
      <c r="B240" s="4" t="s">
        <v>72</v>
      </c>
      <c r="C240" s="4" t="s">
        <v>17</v>
      </c>
      <c r="D240" s="4" t="s">
        <v>15</v>
      </c>
      <c r="E240" s="3">
        <v>17</v>
      </c>
      <c r="F240" s="3">
        <v>50</v>
      </c>
      <c r="G240" s="3" t="s">
        <v>73</v>
      </c>
      <c r="H240" s="2">
        <f t="shared" si="2"/>
        <v>850</v>
      </c>
    </row>
    <row r="241" spans="1:10" ht="15.75" thickBot="1">
      <c r="A241" s="3">
        <v>1035</v>
      </c>
      <c r="B241" s="4" t="s">
        <v>74</v>
      </c>
      <c r="C241" s="4" t="s">
        <v>20</v>
      </c>
      <c r="D241" s="4" t="s">
        <v>18</v>
      </c>
      <c r="E241" s="3">
        <v>19</v>
      </c>
      <c r="F241" s="3">
        <v>10</v>
      </c>
      <c r="G241" s="3" t="s">
        <v>75</v>
      </c>
      <c r="H241" s="2">
        <f t="shared" si="2"/>
        <v>190</v>
      </c>
    </row>
    <row r="242" spans="1:10" ht="15.75" thickBot="1">
      <c r="A242" s="3">
        <v>1036</v>
      </c>
      <c r="B242" s="4" t="s">
        <v>76</v>
      </c>
      <c r="C242" s="4" t="s">
        <v>23</v>
      </c>
      <c r="D242" s="4" t="s">
        <v>21</v>
      </c>
      <c r="E242" s="3">
        <v>15</v>
      </c>
      <c r="F242" s="3">
        <v>25</v>
      </c>
      <c r="G242" s="3" t="s">
        <v>77</v>
      </c>
      <c r="H242" s="2">
        <f t="shared" si="2"/>
        <v>375</v>
      </c>
    </row>
    <row r="243" spans="1:10" ht="15.75" thickBot="1">
      <c r="A243" s="3">
        <v>1037</v>
      </c>
      <c r="B243" s="4" t="s">
        <v>78</v>
      </c>
      <c r="C243" s="4" t="s">
        <v>14</v>
      </c>
      <c r="D243" s="4" t="s">
        <v>25</v>
      </c>
      <c r="E243" s="3">
        <v>28</v>
      </c>
      <c r="F243" s="3">
        <v>5</v>
      </c>
      <c r="G243" s="3" t="s">
        <v>79</v>
      </c>
      <c r="H243" s="2">
        <f t="shared" si="2"/>
        <v>140</v>
      </c>
    </row>
    <row r="244" spans="1:10" ht="15.75" thickBot="1">
      <c r="A244" s="3">
        <v>1038</v>
      </c>
      <c r="B244" s="4" t="s">
        <v>80</v>
      </c>
      <c r="C244" s="4" t="s">
        <v>17</v>
      </c>
      <c r="D244" s="4" t="s">
        <v>28</v>
      </c>
      <c r="E244" s="3">
        <v>24</v>
      </c>
      <c r="F244" s="3">
        <v>8</v>
      </c>
      <c r="G244" s="3" t="s">
        <v>81</v>
      </c>
      <c r="H244" s="2">
        <f t="shared" si="2"/>
        <v>192</v>
      </c>
    </row>
    <row r="245" spans="1:10" ht="15.75" thickBot="1">
      <c r="A245" s="3">
        <v>1039</v>
      </c>
      <c r="B245" s="4" t="s">
        <v>82</v>
      </c>
      <c r="C245" s="4" t="s">
        <v>20</v>
      </c>
      <c r="D245" s="4" t="s">
        <v>15</v>
      </c>
      <c r="E245" s="3">
        <v>16</v>
      </c>
      <c r="F245" s="3">
        <v>50</v>
      </c>
      <c r="G245" s="3" t="s">
        <v>83</v>
      </c>
      <c r="H245" s="2">
        <f t="shared" si="2"/>
        <v>800</v>
      </c>
    </row>
    <row r="246" spans="1:10" ht="15.75" thickBot="1">
      <c r="A246" s="3">
        <v>1040</v>
      </c>
      <c r="B246" s="4" t="s">
        <v>84</v>
      </c>
      <c r="C246" s="4" t="s">
        <v>23</v>
      </c>
      <c r="D246" s="4" t="s">
        <v>18</v>
      </c>
      <c r="E246" s="3">
        <v>27</v>
      </c>
      <c r="F246" s="3">
        <v>10</v>
      </c>
      <c r="G246" s="3" t="s">
        <v>85</v>
      </c>
      <c r="H246" s="2">
        <f t="shared" si="2"/>
        <v>270</v>
      </c>
    </row>
    <row r="247" spans="1:10" ht="15.75" thickBot="1">
      <c r="A247" s="3">
        <v>1041</v>
      </c>
      <c r="B247" s="4" t="s">
        <v>86</v>
      </c>
      <c r="C247" s="4" t="s">
        <v>14</v>
      </c>
      <c r="D247" s="4" t="s">
        <v>21</v>
      </c>
      <c r="E247" s="3">
        <v>21</v>
      </c>
      <c r="F247" s="3">
        <v>25</v>
      </c>
      <c r="G247" s="3" t="s">
        <v>87</v>
      </c>
      <c r="H247" s="2">
        <f t="shared" si="2"/>
        <v>525</v>
      </c>
    </row>
    <row r="248" spans="1:10" ht="15.75" thickBot="1">
      <c r="A248" s="3">
        <v>1042</v>
      </c>
      <c r="B248" s="4" t="s">
        <v>88</v>
      </c>
      <c r="C248" s="4" t="s">
        <v>17</v>
      </c>
      <c r="D248" s="4" t="s">
        <v>25</v>
      </c>
      <c r="E248" s="3">
        <v>30</v>
      </c>
      <c r="F248" s="3">
        <v>5</v>
      </c>
      <c r="G248" s="3" t="s">
        <v>89</v>
      </c>
      <c r="H248" s="2">
        <f t="shared" si="2"/>
        <v>150</v>
      </c>
    </row>
    <row r="249" spans="1:10" ht="15.75" thickBot="1">
      <c r="A249" s="3">
        <v>1043</v>
      </c>
      <c r="B249" s="4" t="s">
        <v>90</v>
      </c>
      <c r="C249" s="4" t="s">
        <v>20</v>
      </c>
      <c r="D249" s="4" t="s">
        <v>28</v>
      </c>
      <c r="E249" s="3">
        <v>26</v>
      </c>
      <c r="F249" s="3">
        <v>8</v>
      </c>
      <c r="G249" s="5">
        <v>45294</v>
      </c>
      <c r="H249" s="2">
        <f t="shared" si="2"/>
        <v>208</v>
      </c>
      <c r="J249" s="15"/>
    </row>
    <row r="250" spans="1:10" ht="15.75" thickBot="1">
      <c r="A250" s="3">
        <v>1044</v>
      </c>
      <c r="B250" s="4" t="s">
        <v>91</v>
      </c>
      <c r="C250" s="4" t="s">
        <v>23</v>
      </c>
      <c r="D250" s="4" t="s">
        <v>15</v>
      </c>
      <c r="E250" s="3">
        <v>14</v>
      </c>
      <c r="F250" s="3">
        <v>50</v>
      </c>
      <c r="G250" s="5">
        <v>45325</v>
      </c>
      <c r="H250" s="2">
        <f t="shared" si="2"/>
        <v>700</v>
      </c>
    </row>
    <row r="251" spans="1:10" ht="15.75" thickBot="1">
      <c r="A251" s="3">
        <v>1045</v>
      </c>
      <c r="B251" s="4" t="s">
        <v>92</v>
      </c>
      <c r="C251" s="4" t="s">
        <v>14</v>
      </c>
      <c r="D251" s="4" t="s">
        <v>18</v>
      </c>
      <c r="E251" s="3">
        <v>20</v>
      </c>
      <c r="F251" s="3">
        <v>10</v>
      </c>
      <c r="G251" s="5">
        <v>45354</v>
      </c>
      <c r="H251" s="2">
        <f t="shared" si="2"/>
        <v>200</v>
      </c>
    </row>
    <row r="252" spans="1:10" ht="15.75" thickBot="1">
      <c r="A252" s="3">
        <v>1046</v>
      </c>
      <c r="B252" s="4" t="s">
        <v>93</v>
      </c>
      <c r="C252" s="4" t="s">
        <v>17</v>
      </c>
      <c r="D252" s="4" t="s">
        <v>21</v>
      </c>
      <c r="E252" s="3">
        <v>17</v>
      </c>
      <c r="F252" s="3">
        <v>25</v>
      </c>
      <c r="G252" s="5">
        <v>45385</v>
      </c>
      <c r="H252" s="2">
        <f t="shared" si="2"/>
        <v>425</v>
      </c>
    </row>
    <row r="253" spans="1:10" ht="15.75" thickBot="1">
      <c r="A253" s="3">
        <v>1047</v>
      </c>
      <c r="B253" s="4" t="s">
        <v>94</v>
      </c>
      <c r="C253" s="4" t="s">
        <v>20</v>
      </c>
      <c r="D253" s="4" t="s">
        <v>25</v>
      </c>
      <c r="E253" s="3">
        <v>19</v>
      </c>
      <c r="F253" s="3">
        <v>5</v>
      </c>
      <c r="G253" s="5">
        <v>45415</v>
      </c>
      <c r="H253" s="2">
        <f t="shared" si="2"/>
        <v>95</v>
      </c>
    </row>
    <row r="254" spans="1:10" ht="15.75" thickBot="1">
      <c r="A254" s="3">
        <v>1048</v>
      </c>
      <c r="B254" s="4" t="s">
        <v>95</v>
      </c>
      <c r="C254" s="4" t="s">
        <v>23</v>
      </c>
      <c r="D254" s="4" t="s">
        <v>28</v>
      </c>
      <c r="E254" s="3">
        <v>32</v>
      </c>
      <c r="F254" s="3">
        <v>8</v>
      </c>
      <c r="G254" s="5">
        <v>45446</v>
      </c>
      <c r="H254" s="2">
        <f t="shared" si="2"/>
        <v>256</v>
      </c>
    </row>
    <row r="255" spans="1:10" ht="15.75" thickBot="1">
      <c r="A255" s="3">
        <v>1049</v>
      </c>
      <c r="B255" s="4" t="s">
        <v>96</v>
      </c>
      <c r="C255" s="4" t="s">
        <v>14</v>
      </c>
      <c r="D255" s="4" t="s">
        <v>15</v>
      </c>
      <c r="E255" s="3">
        <v>12</v>
      </c>
      <c r="F255" s="3">
        <v>50</v>
      </c>
      <c r="G255" s="5">
        <v>45476</v>
      </c>
      <c r="H255" s="2">
        <f t="shared" si="2"/>
        <v>600</v>
      </c>
    </row>
    <row r="256" spans="1:10" ht="15.75" thickBot="1">
      <c r="A256" s="3">
        <v>1050</v>
      </c>
      <c r="B256" s="4" t="s">
        <v>97</v>
      </c>
      <c r="C256" s="4" t="s">
        <v>17</v>
      </c>
      <c r="D256" s="4" t="s">
        <v>18</v>
      </c>
      <c r="E256" s="3">
        <v>25</v>
      </c>
      <c r="F256" s="3">
        <v>10</v>
      </c>
      <c r="G256" s="5">
        <v>45507</v>
      </c>
      <c r="H256" s="2">
        <f t="shared" si="2"/>
        <v>250</v>
      </c>
    </row>
  </sheetData>
  <hyperlinks>
    <hyperlink ref="B3" r:id="rId1" xr:uid="{F1C927F5-736A-4C34-9661-A3F0F5A4F398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Sheet6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amreenmalik1997@gmail.com</dc:creator>
  <cp:lastModifiedBy>amreenmalik1997@gmail.com</cp:lastModifiedBy>
  <cp:lastPrinted>2025-12-05T12:47:13Z</cp:lastPrinted>
  <dcterms:created xsi:type="dcterms:W3CDTF">2025-12-05T10:54:27Z</dcterms:created>
  <dcterms:modified xsi:type="dcterms:W3CDTF">2025-12-05T13:30:28Z</dcterms:modified>
</cp:coreProperties>
</file>